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eorgePan\OSRAM Programms\Training material\AE\Interior\RGB\LRTB_GVSG color mixing_TJ_If\Version0.2\"/>
    </mc:Choice>
  </mc:AlternateContent>
  <bookViews>
    <workbookView xWindow="240" yWindow="105" windowWidth="14805" windowHeight="8010"/>
  </bookViews>
  <sheets>
    <sheet name="RGB Mixing" sheetId="3" r:id="rId1"/>
    <sheet name="Calculation flow" sheetId="4" state="veryHidden" r:id="rId2"/>
    <sheet name="Color Bin" sheetId="6" state="veryHidden" r:id="rId3"/>
    <sheet name="Brightness Bin" sheetId="5" state="veryHidden" r:id="rId4"/>
    <sheet name="IF-I" sheetId="1" state="veryHidden" r:id="rId5"/>
    <sheet name="TJ-I" sheetId="2" state="veryHidden" r:id="rId6"/>
    <sheet name="CIE1931xyz" sheetId="7" state="veryHidden" r:id="rId7"/>
  </sheets>
  <functionGroups builtInGroupCount="18"/>
  <definedNames>
    <definedName name="_xlnm.Print_Area" localSheetId="0">'RGB Mixing'!$A$1:$N$25</definedName>
  </definedNames>
  <calcPr calcId="152511"/>
</workbook>
</file>

<file path=xl/calcChain.xml><?xml version="1.0" encoding="utf-8"?>
<calcChain xmlns="http://schemas.openxmlformats.org/spreadsheetml/2006/main">
  <c r="F472" i="7" l="1"/>
  <c r="E472" i="7"/>
  <c r="F471" i="7"/>
  <c r="E471" i="7"/>
  <c r="F470" i="7"/>
  <c r="E470" i="7"/>
  <c r="F469" i="7"/>
  <c r="E469" i="7"/>
  <c r="F468" i="7"/>
  <c r="E468" i="7"/>
  <c r="F467" i="7"/>
  <c r="E467" i="7"/>
  <c r="F466" i="7"/>
  <c r="E466" i="7"/>
  <c r="F465" i="7"/>
  <c r="E465" i="7"/>
  <c r="F464" i="7"/>
  <c r="E464" i="7"/>
  <c r="F463" i="7"/>
  <c r="E463" i="7"/>
  <c r="F462" i="7"/>
  <c r="E462" i="7"/>
  <c r="F461" i="7"/>
  <c r="E461" i="7"/>
  <c r="F460" i="7"/>
  <c r="E460" i="7"/>
  <c r="F459" i="7"/>
  <c r="E459" i="7"/>
  <c r="F458" i="7"/>
  <c r="E458" i="7"/>
  <c r="F457" i="7"/>
  <c r="E457" i="7"/>
  <c r="F456" i="7"/>
  <c r="E456" i="7"/>
  <c r="F455" i="7"/>
  <c r="E455" i="7"/>
  <c r="F454" i="7"/>
  <c r="E454" i="7"/>
  <c r="F453" i="7"/>
  <c r="E453" i="7"/>
  <c r="F452" i="7"/>
  <c r="E452" i="7"/>
  <c r="F451" i="7"/>
  <c r="E451" i="7"/>
  <c r="F450" i="7"/>
  <c r="E450" i="7"/>
  <c r="F449" i="7"/>
  <c r="E449" i="7"/>
  <c r="F448" i="7"/>
  <c r="E448" i="7"/>
  <c r="F447" i="7"/>
  <c r="E447" i="7"/>
  <c r="F446" i="7"/>
  <c r="E446" i="7"/>
  <c r="F445" i="7"/>
  <c r="E445" i="7"/>
  <c r="F444" i="7"/>
  <c r="E444" i="7"/>
  <c r="F443" i="7"/>
  <c r="E443" i="7"/>
  <c r="F442" i="7"/>
  <c r="E442" i="7"/>
  <c r="F441" i="7"/>
  <c r="E441" i="7"/>
  <c r="F440" i="7"/>
  <c r="E440" i="7"/>
  <c r="F439" i="7"/>
  <c r="E439" i="7"/>
  <c r="F438" i="7"/>
  <c r="E438" i="7"/>
  <c r="F437" i="7"/>
  <c r="E437" i="7"/>
  <c r="F436" i="7"/>
  <c r="E436" i="7"/>
  <c r="F435" i="7"/>
  <c r="E435" i="7"/>
  <c r="F434" i="7"/>
  <c r="E434" i="7"/>
  <c r="F433" i="7"/>
  <c r="E433" i="7"/>
  <c r="F432" i="7"/>
  <c r="E432" i="7"/>
  <c r="F431" i="7"/>
  <c r="E431" i="7"/>
  <c r="F430" i="7"/>
  <c r="E430" i="7"/>
  <c r="F429" i="7"/>
  <c r="E429" i="7"/>
  <c r="F428" i="7"/>
  <c r="E428" i="7"/>
  <c r="F427" i="7"/>
  <c r="E427" i="7"/>
  <c r="F426" i="7"/>
  <c r="E426" i="7"/>
  <c r="F425" i="7"/>
  <c r="E425" i="7"/>
  <c r="F424" i="7"/>
  <c r="E424" i="7"/>
  <c r="F423" i="7"/>
  <c r="E423" i="7"/>
  <c r="F422" i="7"/>
  <c r="E422" i="7"/>
  <c r="F421" i="7"/>
  <c r="E421" i="7"/>
  <c r="F420" i="7"/>
  <c r="E420" i="7"/>
  <c r="F419" i="7"/>
  <c r="E419" i="7"/>
  <c r="F418" i="7"/>
  <c r="E418" i="7"/>
  <c r="F417" i="7"/>
  <c r="E417" i="7"/>
  <c r="F416" i="7"/>
  <c r="E416" i="7"/>
  <c r="F415" i="7"/>
  <c r="E415" i="7"/>
  <c r="F414" i="7"/>
  <c r="E414" i="7"/>
  <c r="F413" i="7"/>
  <c r="E413" i="7"/>
  <c r="F412" i="7"/>
  <c r="E412" i="7"/>
  <c r="F411" i="7"/>
  <c r="E411" i="7"/>
  <c r="F410" i="7"/>
  <c r="E410" i="7"/>
  <c r="F409" i="7"/>
  <c r="E409" i="7"/>
  <c r="F408" i="7"/>
  <c r="E408" i="7"/>
  <c r="F407" i="7"/>
  <c r="E407" i="7"/>
  <c r="F406" i="7"/>
  <c r="E406" i="7"/>
  <c r="F405" i="7"/>
  <c r="E405" i="7"/>
  <c r="F404" i="7"/>
  <c r="E404" i="7"/>
  <c r="F403" i="7"/>
  <c r="E403" i="7"/>
  <c r="F402" i="7"/>
  <c r="E402" i="7"/>
  <c r="F401" i="7"/>
  <c r="E401" i="7"/>
  <c r="F400" i="7"/>
  <c r="E400" i="7"/>
  <c r="F399" i="7"/>
  <c r="E399" i="7"/>
  <c r="F398" i="7"/>
  <c r="E398" i="7"/>
  <c r="F397" i="7"/>
  <c r="E397" i="7"/>
  <c r="F396" i="7"/>
  <c r="E396" i="7"/>
  <c r="F395" i="7"/>
  <c r="E395" i="7"/>
  <c r="F394" i="7"/>
  <c r="E394" i="7"/>
  <c r="F393" i="7"/>
  <c r="E393" i="7"/>
  <c r="F392" i="7"/>
  <c r="E392" i="7"/>
  <c r="F391" i="7"/>
  <c r="E391" i="7"/>
  <c r="F390" i="7"/>
  <c r="E390" i="7"/>
  <c r="F389" i="7"/>
  <c r="E389" i="7"/>
  <c r="F388" i="7"/>
  <c r="E388" i="7"/>
  <c r="F387" i="7"/>
  <c r="E387" i="7"/>
  <c r="F386" i="7"/>
  <c r="E386" i="7"/>
  <c r="F385" i="7"/>
  <c r="E385" i="7"/>
  <c r="F384" i="7"/>
  <c r="E384" i="7"/>
  <c r="F383" i="7"/>
  <c r="E383" i="7"/>
  <c r="F382" i="7"/>
  <c r="E382" i="7"/>
  <c r="F381" i="7"/>
  <c r="E381" i="7"/>
  <c r="F380" i="7"/>
  <c r="E380" i="7"/>
  <c r="F379" i="7"/>
  <c r="E379" i="7"/>
  <c r="F378" i="7"/>
  <c r="E378" i="7"/>
  <c r="F377" i="7"/>
  <c r="E377" i="7"/>
  <c r="F376" i="7"/>
  <c r="E376" i="7"/>
  <c r="F375" i="7"/>
  <c r="E375" i="7"/>
  <c r="F374" i="7"/>
  <c r="E374" i="7"/>
  <c r="F373" i="7"/>
  <c r="E373" i="7"/>
  <c r="F372" i="7"/>
  <c r="E372" i="7"/>
  <c r="F371" i="7"/>
  <c r="E371" i="7"/>
  <c r="F370" i="7"/>
  <c r="E370" i="7"/>
  <c r="F369" i="7"/>
  <c r="E369" i="7"/>
  <c r="F368" i="7"/>
  <c r="E368" i="7"/>
  <c r="F367" i="7"/>
  <c r="E367" i="7"/>
  <c r="F366" i="7"/>
  <c r="E366" i="7"/>
  <c r="F365" i="7"/>
  <c r="E365" i="7"/>
  <c r="F364" i="7"/>
  <c r="E364" i="7"/>
  <c r="F363" i="7"/>
  <c r="E363" i="7"/>
  <c r="F362" i="7"/>
  <c r="E362" i="7"/>
  <c r="F361" i="7"/>
  <c r="E361" i="7"/>
  <c r="F360" i="7"/>
  <c r="E360" i="7"/>
  <c r="F359" i="7"/>
  <c r="E359" i="7"/>
  <c r="F358" i="7"/>
  <c r="E358" i="7"/>
  <c r="F357" i="7"/>
  <c r="E357" i="7"/>
  <c r="F356" i="7"/>
  <c r="E356" i="7"/>
  <c r="F355" i="7"/>
  <c r="E355" i="7"/>
  <c r="F354" i="7"/>
  <c r="E354" i="7"/>
  <c r="F353" i="7"/>
  <c r="E353" i="7"/>
  <c r="F352" i="7"/>
  <c r="E352" i="7"/>
  <c r="F351" i="7"/>
  <c r="E351" i="7"/>
  <c r="F350" i="7"/>
  <c r="E350" i="7"/>
  <c r="F349" i="7"/>
  <c r="E349" i="7"/>
  <c r="F348" i="7"/>
  <c r="E348" i="7"/>
  <c r="F347" i="7"/>
  <c r="E347" i="7"/>
  <c r="F346" i="7"/>
  <c r="E346" i="7"/>
  <c r="F345" i="7"/>
  <c r="E345" i="7"/>
  <c r="F344" i="7"/>
  <c r="E344" i="7"/>
  <c r="F343" i="7"/>
  <c r="E343" i="7"/>
  <c r="F342" i="7"/>
  <c r="E342" i="7"/>
  <c r="F341" i="7"/>
  <c r="E341" i="7"/>
  <c r="F340" i="7"/>
  <c r="E340" i="7"/>
  <c r="F339" i="7"/>
  <c r="E339" i="7"/>
  <c r="F338" i="7"/>
  <c r="E338" i="7"/>
  <c r="F337" i="7"/>
  <c r="E337" i="7"/>
  <c r="F336" i="7"/>
  <c r="E336" i="7"/>
  <c r="F335" i="7"/>
  <c r="E335" i="7"/>
  <c r="F334" i="7"/>
  <c r="E334" i="7"/>
  <c r="F333" i="7"/>
  <c r="E333" i="7"/>
  <c r="F332" i="7"/>
  <c r="E332" i="7"/>
  <c r="F331" i="7"/>
  <c r="E331" i="7"/>
  <c r="F330" i="7"/>
  <c r="E330" i="7"/>
  <c r="F329" i="7"/>
  <c r="E329" i="7"/>
  <c r="F328" i="7"/>
  <c r="E328" i="7"/>
  <c r="F327" i="7"/>
  <c r="E327" i="7"/>
  <c r="F326" i="7"/>
  <c r="E326" i="7"/>
  <c r="F325" i="7"/>
  <c r="E325" i="7"/>
  <c r="F324" i="7"/>
  <c r="E324" i="7"/>
  <c r="F323" i="7"/>
  <c r="E323" i="7"/>
  <c r="F322" i="7"/>
  <c r="E322" i="7"/>
  <c r="F321" i="7"/>
  <c r="E321" i="7"/>
  <c r="F320" i="7"/>
  <c r="E320" i="7"/>
  <c r="F319" i="7"/>
  <c r="E319" i="7"/>
  <c r="F318" i="7"/>
  <c r="E318" i="7"/>
  <c r="F317" i="7"/>
  <c r="E317" i="7"/>
  <c r="F316" i="7"/>
  <c r="E316" i="7"/>
  <c r="F315" i="7"/>
  <c r="E315" i="7"/>
  <c r="F314" i="7"/>
  <c r="E314" i="7"/>
  <c r="F313" i="7"/>
  <c r="E313" i="7"/>
  <c r="F312" i="7"/>
  <c r="E312" i="7"/>
  <c r="F311" i="7"/>
  <c r="E311" i="7"/>
  <c r="F310" i="7"/>
  <c r="E310" i="7"/>
  <c r="F309" i="7"/>
  <c r="E309" i="7"/>
  <c r="F308" i="7"/>
  <c r="E308" i="7"/>
  <c r="F307" i="7"/>
  <c r="E307" i="7"/>
  <c r="F306" i="7"/>
  <c r="E306" i="7"/>
  <c r="F305" i="7"/>
  <c r="E305" i="7"/>
  <c r="F304" i="7"/>
  <c r="E304" i="7"/>
  <c r="F303" i="7"/>
  <c r="E303" i="7"/>
  <c r="F302" i="7"/>
  <c r="E302" i="7"/>
  <c r="F301" i="7"/>
  <c r="E301" i="7"/>
  <c r="F300" i="7"/>
  <c r="E300" i="7"/>
  <c r="F299" i="7"/>
  <c r="E299" i="7"/>
  <c r="F298" i="7"/>
  <c r="E298" i="7"/>
  <c r="F297" i="7"/>
  <c r="E297" i="7"/>
  <c r="F296" i="7"/>
  <c r="E296" i="7"/>
  <c r="F295" i="7"/>
  <c r="E295" i="7"/>
  <c r="F294" i="7"/>
  <c r="E294" i="7"/>
  <c r="F293" i="7"/>
  <c r="E293" i="7"/>
  <c r="F292" i="7"/>
  <c r="E292" i="7"/>
  <c r="F291" i="7"/>
  <c r="E291" i="7"/>
  <c r="F290" i="7"/>
  <c r="E290" i="7"/>
  <c r="F289" i="7"/>
  <c r="E289" i="7"/>
  <c r="F288" i="7"/>
  <c r="E288" i="7"/>
  <c r="F287" i="7"/>
  <c r="E287" i="7"/>
  <c r="F286" i="7"/>
  <c r="E286" i="7"/>
  <c r="F285" i="7"/>
  <c r="E285" i="7"/>
  <c r="F284" i="7"/>
  <c r="E284" i="7"/>
  <c r="F283" i="7"/>
  <c r="E283" i="7"/>
  <c r="F282" i="7"/>
  <c r="E282" i="7"/>
  <c r="F281" i="7"/>
  <c r="E281" i="7"/>
  <c r="F280" i="7"/>
  <c r="E280" i="7"/>
  <c r="F279" i="7"/>
  <c r="E279" i="7"/>
  <c r="F278" i="7"/>
  <c r="E278" i="7"/>
  <c r="F277" i="7"/>
  <c r="E277" i="7"/>
  <c r="F276" i="7"/>
  <c r="E276" i="7"/>
  <c r="F275" i="7"/>
  <c r="E275" i="7"/>
  <c r="F274" i="7"/>
  <c r="E274" i="7"/>
  <c r="F273" i="7"/>
  <c r="E273" i="7"/>
  <c r="F272" i="7"/>
  <c r="E272" i="7"/>
  <c r="F271" i="7"/>
  <c r="E271" i="7"/>
  <c r="F270" i="7"/>
  <c r="E270" i="7"/>
  <c r="F269" i="7"/>
  <c r="E269" i="7"/>
  <c r="F268" i="7"/>
  <c r="E268" i="7"/>
  <c r="F267" i="7"/>
  <c r="E267" i="7"/>
  <c r="F266" i="7"/>
  <c r="E266" i="7"/>
  <c r="F265" i="7"/>
  <c r="E265" i="7"/>
  <c r="F264" i="7"/>
  <c r="E264" i="7"/>
  <c r="F263" i="7"/>
  <c r="E263" i="7"/>
  <c r="F262" i="7"/>
  <c r="E262" i="7"/>
  <c r="F261" i="7"/>
  <c r="E261" i="7"/>
  <c r="F260" i="7"/>
  <c r="E260" i="7"/>
  <c r="F259" i="7"/>
  <c r="E259" i="7"/>
  <c r="F258" i="7"/>
  <c r="E258" i="7"/>
  <c r="F257" i="7"/>
  <c r="E257" i="7"/>
  <c r="F256" i="7"/>
  <c r="E256" i="7"/>
  <c r="F255" i="7"/>
  <c r="E255" i="7"/>
  <c r="F254" i="7"/>
  <c r="E254" i="7"/>
  <c r="F253" i="7"/>
  <c r="E253" i="7"/>
  <c r="F252" i="7"/>
  <c r="E252" i="7"/>
  <c r="F251" i="7"/>
  <c r="E251" i="7"/>
  <c r="F250" i="7"/>
  <c r="E250" i="7"/>
  <c r="F249" i="7"/>
  <c r="E249" i="7"/>
  <c r="F248" i="7"/>
  <c r="E248" i="7"/>
  <c r="F247" i="7"/>
  <c r="E247" i="7"/>
  <c r="F246" i="7"/>
  <c r="E246" i="7"/>
  <c r="F245" i="7"/>
  <c r="E245" i="7"/>
  <c r="F244" i="7"/>
  <c r="E244" i="7"/>
  <c r="F243" i="7"/>
  <c r="E243" i="7"/>
  <c r="F242" i="7"/>
  <c r="E242" i="7"/>
  <c r="F241" i="7"/>
  <c r="E241" i="7"/>
  <c r="F240" i="7"/>
  <c r="E240" i="7"/>
  <c r="F239" i="7"/>
  <c r="E239" i="7"/>
  <c r="F238" i="7"/>
  <c r="E238" i="7"/>
  <c r="F237" i="7"/>
  <c r="E237" i="7"/>
  <c r="F236" i="7"/>
  <c r="E236" i="7"/>
  <c r="F235" i="7"/>
  <c r="E235" i="7"/>
  <c r="F234" i="7"/>
  <c r="E234" i="7"/>
  <c r="F233" i="7"/>
  <c r="E233" i="7"/>
  <c r="F232" i="7"/>
  <c r="E232" i="7"/>
  <c r="F231" i="7"/>
  <c r="E231" i="7"/>
  <c r="F230" i="7"/>
  <c r="E230" i="7"/>
  <c r="F229" i="7"/>
  <c r="E229" i="7"/>
  <c r="F228" i="7"/>
  <c r="E228" i="7"/>
  <c r="F227" i="7"/>
  <c r="E227" i="7"/>
  <c r="F226" i="7"/>
  <c r="E226" i="7"/>
  <c r="F225" i="7"/>
  <c r="E225" i="7"/>
  <c r="F224" i="7"/>
  <c r="E224" i="7"/>
  <c r="F223" i="7"/>
  <c r="E223" i="7"/>
  <c r="F222" i="7"/>
  <c r="E222" i="7"/>
  <c r="F221" i="7"/>
  <c r="E221" i="7"/>
  <c r="F220" i="7"/>
  <c r="E220" i="7"/>
  <c r="F219" i="7"/>
  <c r="E219" i="7"/>
  <c r="F218" i="7"/>
  <c r="E218" i="7"/>
  <c r="F217" i="7"/>
  <c r="E217" i="7"/>
  <c r="F216" i="7"/>
  <c r="E216" i="7"/>
  <c r="F215" i="7"/>
  <c r="E215" i="7"/>
  <c r="F214" i="7"/>
  <c r="E214" i="7"/>
  <c r="F213" i="7"/>
  <c r="E213" i="7"/>
  <c r="F212" i="7"/>
  <c r="E212" i="7"/>
  <c r="F211" i="7"/>
  <c r="E211" i="7"/>
  <c r="F210" i="7"/>
  <c r="E210" i="7"/>
  <c r="F209" i="7"/>
  <c r="E209" i="7"/>
  <c r="F208" i="7"/>
  <c r="E208" i="7"/>
  <c r="F207" i="7"/>
  <c r="E207" i="7"/>
  <c r="F206" i="7"/>
  <c r="E206" i="7"/>
  <c r="F205" i="7"/>
  <c r="E205" i="7"/>
  <c r="F204" i="7"/>
  <c r="E204" i="7"/>
  <c r="F203" i="7"/>
  <c r="E203" i="7"/>
  <c r="F202" i="7"/>
  <c r="E202" i="7"/>
  <c r="F201" i="7"/>
  <c r="E201" i="7"/>
  <c r="F200" i="7"/>
  <c r="E200" i="7"/>
  <c r="F199" i="7"/>
  <c r="E199" i="7"/>
  <c r="F198" i="7"/>
  <c r="E198" i="7"/>
  <c r="F197" i="7"/>
  <c r="E197" i="7"/>
  <c r="F196" i="7"/>
  <c r="E196" i="7"/>
  <c r="F195" i="7"/>
  <c r="E195" i="7"/>
  <c r="F194" i="7"/>
  <c r="E194" i="7"/>
  <c r="F193" i="7"/>
  <c r="E193" i="7"/>
  <c r="F192" i="7"/>
  <c r="E192" i="7"/>
  <c r="F191" i="7"/>
  <c r="E191" i="7"/>
  <c r="F190" i="7"/>
  <c r="E190" i="7"/>
  <c r="F189" i="7"/>
  <c r="E189" i="7"/>
  <c r="F188" i="7"/>
  <c r="E188" i="7"/>
  <c r="F187" i="7"/>
  <c r="E187" i="7"/>
  <c r="F186" i="7"/>
  <c r="E186" i="7"/>
  <c r="F185" i="7"/>
  <c r="E185" i="7"/>
  <c r="F184" i="7"/>
  <c r="E184" i="7"/>
  <c r="F183" i="7"/>
  <c r="E183" i="7"/>
  <c r="F182" i="7"/>
  <c r="E182" i="7"/>
  <c r="F181" i="7"/>
  <c r="E181" i="7"/>
  <c r="F180" i="7"/>
  <c r="E180" i="7"/>
  <c r="F179" i="7"/>
  <c r="E179" i="7"/>
  <c r="F178" i="7"/>
  <c r="E178" i="7"/>
  <c r="F177" i="7"/>
  <c r="E177" i="7"/>
  <c r="F176" i="7"/>
  <c r="E176" i="7"/>
  <c r="F175" i="7"/>
  <c r="E175" i="7"/>
  <c r="F174" i="7"/>
  <c r="E174" i="7"/>
  <c r="F173" i="7"/>
  <c r="E173" i="7"/>
  <c r="F172" i="7"/>
  <c r="E172" i="7"/>
  <c r="F171" i="7"/>
  <c r="E171" i="7"/>
  <c r="F170" i="7"/>
  <c r="E170" i="7"/>
  <c r="F169" i="7"/>
  <c r="E169" i="7"/>
  <c r="F168" i="7"/>
  <c r="E168" i="7"/>
  <c r="F167" i="7"/>
  <c r="E167" i="7"/>
  <c r="F166" i="7"/>
  <c r="E166" i="7"/>
  <c r="F165" i="7"/>
  <c r="E165" i="7"/>
  <c r="F164" i="7"/>
  <c r="E164" i="7"/>
  <c r="F163" i="7"/>
  <c r="E163" i="7"/>
  <c r="F162" i="7"/>
  <c r="E162" i="7"/>
  <c r="F161" i="7"/>
  <c r="E161" i="7"/>
  <c r="F160" i="7"/>
  <c r="E160" i="7"/>
  <c r="F159" i="7"/>
  <c r="E159" i="7"/>
  <c r="F158" i="7"/>
  <c r="E158" i="7"/>
  <c r="F157" i="7"/>
  <c r="E157" i="7"/>
  <c r="F156" i="7"/>
  <c r="E156" i="7"/>
  <c r="F155" i="7"/>
  <c r="E155" i="7"/>
  <c r="F154" i="7"/>
  <c r="E154" i="7"/>
  <c r="F153" i="7"/>
  <c r="E153" i="7"/>
  <c r="F152" i="7"/>
  <c r="E152" i="7"/>
  <c r="F151" i="7"/>
  <c r="E151" i="7"/>
  <c r="F150" i="7"/>
  <c r="E150" i="7"/>
  <c r="F149" i="7"/>
  <c r="E149" i="7"/>
  <c r="F148" i="7"/>
  <c r="E148" i="7"/>
  <c r="F147" i="7"/>
  <c r="E147" i="7"/>
  <c r="F146" i="7"/>
  <c r="E146" i="7"/>
  <c r="F145" i="7"/>
  <c r="E145" i="7"/>
  <c r="F144" i="7"/>
  <c r="E144" i="7"/>
  <c r="F143" i="7"/>
  <c r="E143" i="7"/>
  <c r="F142" i="7"/>
  <c r="E142" i="7"/>
  <c r="F141" i="7"/>
  <c r="E141" i="7"/>
  <c r="F140" i="7"/>
  <c r="E140" i="7"/>
  <c r="F139" i="7"/>
  <c r="E139" i="7"/>
  <c r="F138" i="7"/>
  <c r="E138" i="7"/>
  <c r="F137" i="7"/>
  <c r="E137" i="7"/>
  <c r="F136" i="7"/>
  <c r="E136" i="7"/>
  <c r="F135" i="7"/>
  <c r="E135" i="7"/>
  <c r="F134" i="7"/>
  <c r="E134" i="7"/>
  <c r="F133" i="7"/>
  <c r="E133" i="7"/>
  <c r="F132" i="7"/>
  <c r="E132" i="7"/>
  <c r="F131" i="7"/>
  <c r="E131" i="7"/>
  <c r="F130" i="7"/>
  <c r="E130" i="7"/>
  <c r="F129" i="7"/>
  <c r="E129" i="7"/>
  <c r="F128" i="7"/>
  <c r="E128" i="7"/>
  <c r="F127" i="7"/>
  <c r="E127" i="7"/>
  <c r="F126" i="7"/>
  <c r="E126" i="7"/>
  <c r="F125" i="7"/>
  <c r="E125" i="7"/>
  <c r="F124" i="7"/>
  <c r="E124" i="7"/>
  <c r="F123" i="7"/>
  <c r="E123" i="7"/>
  <c r="F122" i="7"/>
  <c r="E122" i="7"/>
  <c r="F121" i="7"/>
  <c r="E121" i="7"/>
  <c r="F120" i="7"/>
  <c r="E120" i="7"/>
  <c r="F119" i="7"/>
  <c r="E119" i="7"/>
  <c r="F118" i="7"/>
  <c r="E118" i="7"/>
  <c r="F117" i="7"/>
  <c r="E117" i="7"/>
  <c r="F116" i="7"/>
  <c r="E116" i="7"/>
  <c r="F115" i="7"/>
  <c r="E115" i="7"/>
  <c r="F114" i="7"/>
  <c r="E114" i="7"/>
  <c r="F113" i="7"/>
  <c r="E113" i="7"/>
  <c r="F112" i="7"/>
  <c r="E112" i="7"/>
  <c r="F111" i="7"/>
  <c r="E111" i="7"/>
  <c r="F110" i="7"/>
  <c r="E110" i="7"/>
  <c r="F109" i="7"/>
  <c r="E109" i="7"/>
  <c r="F108" i="7"/>
  <c r="E108" i="7"/>
  <c r="F107" i="7"/>
  <c r="E107" i="7"/>
  <c r="F106" i="7"/>
  <c r="E106" i="7"/>
  <c r="F105" i="7"/>
  <c r="E105" i="7"/>
  <c r="F104" i="7"/>
  <c r="E104" i="7"/>
  <c r="F103" i="7"/>
  <c r="E103" i="7"/>
  <c r="F102" i="7"/>
  <c r="E102" i="7"/>
  <c r="F101" i="7"/>
  <c r="E101" i="7"/>
  <c r="F100" i="7"/>
  <c r="E100" i="7"/>
  <c r="F99" i="7"/>
  <c r="E99" i="7"/>
  <c r="F98" i="7"/>
  <c r="E98" i="7"/>
  <c r="F97" i="7"/>
  <c r="E97" i="7"/>
  <c r="F96" i="7"/>
  <c r="E96" i="7"/>
  <c r="F95" i="7"/>
  <c r="E95" i="7"/>
  <c r="F94" i="7"/>
  <c r="E94" i="7"/>
  <c r="F93" i="7"/>
  <c r="E93" i="7"/>
  <c r="F92" i="7"/>
  <c r="E92" i="7"/>
  <c r="F91" i="7"/>
  <c r="E91" i="7"/>
  <c r="F90" i="7"/>
  <c r="E90" i="7"/>
  <c r="F89" i="7"/>
  <c r="E89" i="7"/>
  <c r="F88" i="7"/>
  <c r="E88" i="7"/>
  <c r="F87" i="7"/>
  <c r="E87" i="7"/>
  <c r="F86" i="7"/>
  <c r="E86" i="7"/>
  <c r="F85" i="7"/>
  <c r="E85" i="7"/>
  <c r="F84" i="7"/>
  <c r="E84" i="7"/>
  <c r="F83" i="7"/>
  <c r="E83" i="7"/>
  <c r="F82" i="7"/>
  <c r="E82" i="7"/>
  <c r="F81" i="7"/>
  <c r="E81" i="7"/>
  <c r="F80" i="7"/>
  <c r="E80" i="7"/>
  <c r="F79" i="7"/>
  <c r="E79" i="7"/>
  <c r="F78" i="7"/>
  <c r="E78" i="7"/>
  <c r="F77" i="7"/>
  <c r="E77" i="7"/>
  <c r="F76" i="7"/>
  <c r="E76" i="7"/>
  <c r="F75" i="7"/>
  <c r="E75" i="7"/>
  <c r="F74" i="7"/>
  <c r="E74" i="7"/>
  <c r="F73" i="7"/>
  <c r="E73" i="7"/>
  <c r="F72" i="7"/>
  <c r="E72" i="7"/>
  <c r="F71" i="7"/>
  <c r="E71" i="7"/>
  <c r="F70" i="7"/>
  <c r="E70" i="7"/>
  <c r="F69" i="7"/>
  <c r="E69" i="7"/>
  <c r="F68" i="7"/>
  <c r="E68" i="7"/>
  <c r="F67" i="7"/>
  <c r="E67" i="7"/>
  <c r="F66" i="7"/>
  <c r="E66" i="7"/>
  <c r="F65" i="7"/>
  <c r="E65" i="7"/>
  <c r="F64" i="7"/>
  <c r="E64" i="7"/>
  <c r="F63" i="7"/>
  <c r="E63" i="7"/>
  <c r="F62" i="7"/>
  <c r="E62" i="7"/>
  <c r="F61" i="7"/>
  <c r="E61" i="7"/>
  <c r="F60" i="7"/>
  <c r="E60" i="7"/>
  <c r="F59" i="7"/>
  <c r="E59" i="7"/>
  <c r="F58" i="7"/>
  <c r="E58" i="7"/>
  <c r="F57" i="7"/>
  <c r="E57" i="7"/>
  <c r="F56" i="7"/>
  <c r="E56" i="7"/>
  <c r="F55" i="7"/>
  <c r="E55" i="7"/>
  <c r="F54" i="7"/>
  <c r="E54" i="7"/>
  <c r="F53" i="7"/>
  <c r="E53" i="7"/>
  <c r="F52" i="7"/>
  <c r="E52" i="7"/>
  <c r="F51" i="7"/>
  <c r="E51" i="7"/>
  <c r="F50" i="7"/>
  <c r="E50" i="7"/>
  <c r="F49" i="7"/>
  <c r="E49" i="7"/>
  <c r="F48" i="7"/>
  <c r="E48" i="7"/>
  <c r="F47" i="7"/>
  <c r="E47" i="7"/>
  <c r="F46" i="7"/>
  <c r="E46" i="7"/>
  <c r="F45" i="7"/>
  <c r="E45" i="7"/>
  <c r="F44" i="7"/>
  <c r="E44" i="7"/>
  <c r="F43" i="7"/>
  <c r="E43" i="7"/>
  <c r="F42" i="7"/>
  <c r="E42" i="7"/>
  <c r="F41" i="7"/>
  <c r="E41" i="7"/>
  <c r="F40" i="7"/>
  <c r="E40" i="7"/>
  <c r="F39" i="7"/>
  <c r="E39" i="7"/>
  <c r="F38" i="7"/>
  <c r="E38" i="7"/>
  <c r="F37" i="7"/>
  <c r="E37" i="7"/>
  <c r="F36" i="7"/>
  <c r="E36" i="7"/>
  <c r="F35" i="7"/>
  <c r="E35" i="7"/>
  <c r="F34" i="7"/>
  <c r="E34" i="7"/>
  <c r="F33" i="7"/>
  <c r="E33" i="7"/>
  <c r="F32" i="7"/>
  <c r="E32" i="7"/>
  <c r="F31" i="7"/>
  <c r="E31" i="7"/>
  <c r="F30" i="7"/>
  <c r="E30" i="7"/>
  <c r="F29" i="7"/>
  <c r="E29" i="7"/>
  <c r="F28" i="7"/>
  <c r="E28" i="7"/>
  <c r="F27" i="7"/>
  <c r="E27" i="7"/>
  <c r="F26" i="7"/>
  <c r="E26" i="7"/>
  <c r="F25" i="7"/>
  <c r="E25" i="7"/>
  <c r="F24" i="7"/>
  <c r="E24" i="7"/>
  <c r="F23" i="7"/>
  <c r="E23" i="7"/>
  <c r="F22" i="7"/>
  <c r="E22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F2" i="7"/>
  <c r="E2" i="7"/>
  <c r="B5" i="4" a="1"/>
  <c r="B4" i="4" a="1"/>
  <c r="B3" i="4" a="1"/>
  <c r="C3" i="4" l="1"/>
  <c r="B3" i="4"/>
  <c r="C5" i="4"/>
  <c r="B5" i="4"/>
  <c r="B4" i="4"/>
  <c r="C4" i="4"/>
  <c r="D56" i="4"/>
  <c r="D55" i="4" l="1"/>
  <c r="D54" i="4"/>
  <c r="C56" i="4"/>
  <c r="B56" i="4"/>
  <c r="B55" i="4"/>
  <c r="C55" i="4"/>
  <c r="C54" i="4"/>
  <c r="B54" i="4"/>
  <c r="I50" i="6" l="1"/>
  <c r="I36" i="5" l="1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7" i="5"/>
  <c r="I16" i="5"/>
  <c r="I15" i="5"/>
  <c r="I14" i="5"/>
  <c r="I13" i="5"/>
  <c r="I10" i="5"/>
  <c r="I9" i="5"/>
  <c r="I8" i="5"/>
  <c r="I7" i="5"/>
  <c r="I6" i="5"/>
  <c r="I5" i="5"/>
  <c r="I4" i="5"/>
  <c r="I3" i="5"/>
  <c r="I2" i="5"/>
  <c r="J90" i="6"/>
  <c r="I90" i="6"/>
  <c r="J86" i="6"/>
  <c r="I86" i="6"/>
  <c r="J82" i="6"/>
  <c r="I82" i="6"/>
  <c r="J78" i="6"/>
  <c r="I78" i="6"/>
  <c r="J74" i="6"/>
  <c r="I74" i="6"/>
  <c r="J70" i="6"/>
  <c r="I70" i="6"/>
  <c r="J66" i="6"/>
  <c r="I66" i="6"/>
  <c r="J62" i="6"/>
  <c r="I62" i="6"/>
  <c r="J58" i="6"/>
  <c r="I58" i="6"/>
  <c r="J54" i="6"/>
  <c r="I54" i="6"/>
  <c r="J50" i="6"/>
  <c r="J44" i="6"/>
  <c r="I44" i="6"/>
  <c r="J40" i="6"/>
  <c r="I40" i="6"/>
  <c r="J36" i="6"/>
  <c r="I36" i="6"/>
  <c r="J32" i="6"/>
  <c r="I32" i="6"/>
  <c r="J28" i="6"/>
  <c r="I28" i="6"/>
  <c r="J24" i="6"/>
  <c r="I24" i="6"/>
  <c r="J20" i="6"/>
  <c r="I20" i="6"/>
  <c r="J16" i="6"/>
  <c r="I16" i="6"/>
  <c r="J10" i="6"/>
  <c r="I10" i="6"/>
  <c r="J6" i="6"/>
  <c r="I6" i="6"/>
  <c r="J2" i="6"/>
  <c r="I2" i="6"/>
  <c r="C31" i="4" l="1"/>
  <c r="D31" i="4"/>
  <c r="I38" i="4" s="1"/>
  <c r="B31" i="4"/>
  <c r="K18" i="2" l="1"/>
  <c r="K17" i="2"/>
  <c r="K16" i="2"/>
  <c r="J16" i="1"/>
  <c r="J15" i="1"/>
  <c r="J14" i="1"/>
  <c r="K24" i="2" l="1"/>
  <c r="L24" i="2" s="1"/>
  <c r="K23" i="2"/>
  <c r="L23" i="2" s="1"/>
  <c r="K22" i="2"/>
  <c r="L22" i="2" s="1"/>
  <c r="B14" i="4" s="1"/>
  <c r="J24" i="2"/>
  <c r="J23" i="2"/>
  <c r="J22" i="2"/>
  <c r="L17" i="2"/>
  <c r="L18" i="2"/>
  <c r="L16" i="2"/>
  <c r="J21" i="1"/>
  <c r="K21" i="1" s="1"/>
  <c r="J20" i="1"/>
  <c r="K20" i="1" s="1"/>
  <c r="K16" i="1"/>
  <c r="K15" i="1"/>
  <c r="K14" i="1"/>
  <c r="B24" i="2" a="1"/>
  <c r="B24" i="2" s="1"/>
  <c r="E24" i="2"/>
  <c r="B23" i="2" a="1"/>
  <c r="B23" i="2" s="1"/>
  <c r="B22" i="2" a="1"/>
  <c r="D22" i="2" s="1"/>
  <c r="G22" i="2"/>
  <c r="B18" i="2" a="1"/>
  <c r="B18" i="2" s="1"/>
  <c r="B17" i="2" a="1"/>
  <c r="B17" i="2" s="1"/>
  <c r="B16" i="2" a="1"/>
  <c r="B16" i="2" s="1"/>
  <c r="B21" i="1" a="1"/>
  <c r="B21" i="1" s="1"/>
  <c r="E21" i="1"/>
  <c r="B20" i="1" a="1"/>
  <c r="D20" i="1" s="1"/>
  <c r="B20" i="1"/>
  <c r="C20" i="1"/>
  <c r="E20" i="1"/>
  <c r="F20" i="1"/>
  <c r="B16" i="1" a="1"/>
  <c r="B16" i="1" s="1"/>
  <c r="B15" i="1" a="1"/>
  <c r="C15" i="1" s="1"/>
  <c r="B14" i="1" a="1"/>
  <c r="B14" i="1" s="1"/>
  <c r="B20" i="4" a="1"/>
  <c r="B20" i="4" l="1"/>
  <c r="B26" i="4" s="1"/>
  <c r="C20" i="4"/>
  <c r="C26" i="4" s="1"/>
  <c r="B10" i="4"/>
  <c r="D27" i="4" s="1"/>
  <c r="B38" i="4" s="1"/>
  <c r="B11" i="4"/>
  <c r="D28" i="4" s="1"/>
  <c r="B15" i="4"/>
  <c r="B9" i="4"/>
  <c r="D26" i="4" s="1"/>
  <c r="B16" i="4"/>
  <c r="H24" i="2"/>
  <c r="D24" i="2"/>
  <c r="G24" i="2"/>
  <c r="C24" i="2"/>
  <c r="F24" i="2"/>
  <c r="E23" i="2"/>
  <c r="F22" i="2"/>
  <c r="H23" i="2"/>
  <c r="D23" i="2"/>
  <c r="C22" i="2"/>
  <c r="G23" i="2"/>
  <c r="C23" i="2"/>
  <c r="B22" i="2"/>
  <c r="F23" i="2"/>
  <c r="E22" i="2"/>
  <c r="H22" i="2"/>
  <c r="E18" i="2"/>
  <c r="H18" i="2"/>
  <c r="D18" i="2"/>
  <c r="G18" i="2"/>
  <c r="C18" i="2"/>
  <c r="E17" i="2"/>
  <c r="F18" i="2"/>
  <c r="H17" i="2"/>
  <c r="D17" i="2"/>
  <c r="G17" i="2"/>
  <c r="C17" i="2"/>
  <c r="E16" i="2"/>
  <c r="F17" i="2"/>
  <c r="H16" i="2"/>
  <c r="D16" i="2"/>
  <c r="G16" i="2"/>
  <c r="C16" i="2"/>
  <c r="F16" i="2"/>
  <c r="D21" i="1"/>
  <c r="C21" i="1"/>
  <c r="F21" i="1"/>
  <c r="E15" i="1"/>
  <c r="B15" i="1"/>
  <c r="E14" i="1"/>
  <c r="E16" i="1"/>
  <c r="D16" i="1"/>
  <c r="C16" i="1"/>
  <c r="F15" i="1"/>
  <c r="F16" i="1"/>
  <c r="D15" i="1"/>
  <c r="H14" i="1"/>
  <c r="D14" i="1"/>
  <c r="G14" i="1"/>
  <c r="C14" i="1"/>
  <c r="F14" i="1"/>
  <c r="B22" i="4" a="1"/>
  <c r="B21" i="4" a="1"/>
  <c r="C22" i="4" l="1"/>
  <c r="C28" i="4" s="1"/>
  <c r="C37" i="4" s="1"/>
  <c r="B22" i="4"/>
  <c r="B28" i="4" s="1"/>
  <c r="B21" i="4"/>
  <c r="B27" i="4" s="1"/>
  <c r="C21" i="4"/>
  <c r="C27" i="4" s="1"/>
  <c r="B37" i="4" s="1"/>
  <c r="A36" i="4"/>
  <c r="A37" i="4"/>
  <c r="A38" i="4"/>
  <c r="C38" i="4"/>
  <c r="C36" i="4" l="1"/>
  <c r="B36" i="4"/>
  <c r="E36" i="4" l="1" a="1"/>
  <c r="E36" i="4" s="1"/>
  <c r="F37" i="4" l="1"/>
  <c r="G38" i="4"/>
  <c r="F36" i="4"/>
  <c r="G37" i="4"/>
  <c r="E38" i="4"/>
  <c r="G36" i="4"/>
  <c r="F38" i="4"/>
  <c r="E37" i="4"/>
  <c r="K36" i="4" l="1" a="1"/>
  <c r="K36" i="4" s="1"/>
  <c r="O37" i="4" l="1"/>
  <c r="D16" i="3" s="1"/>
  <c r="O38" i="4"/>
  <c r="D17" i="3" s="1"/>
  <c r="K38" i="4"/>
  <c r="K37" i="4"/>
  <c r="Q37" i="4" l="1"/>
  <c r="F16" i="3" s="1"/>
  <c r="Q38" i="4"/>
  <c r="F17" i="3" s="1"/>
  <c r="P37" i="4"/>
  <c r="E16" i="3" s="1"/>
  <c r="P38" i="4"/>
  <c r="E17" i="3" s="1"/>
  <c r="V37" i="4" l="1"/>
  <c r="V38" i="4" s="1"/>
  <c r="E21" i="3" s="1"/>
  <c r="U37" i="4"/>
  <c r="W37" i="4"/>
  <c r="G15" i="3"/>
  <c r="E20" i="3" l="1"/>
  <c r="F20" i="3"/>
  <c r="W38" i="4"/>
  <c r="F21" i="3" s="1"/>
  <c r="D20" i="3"/>
  <c r="U38" i="4"/>
  <c r="D21" i="3" s="1"/>
  <c r="U39" i="4" l="1"/>
  <c r="D22" i="3" s="1"/>
</calcChain>
</file>

<file path=xl/sharedStrings.xml><?xml version="1.0" encoding="utf-8"?>
<sst xmlns="http://schemas.openxmlformats.org/spreadsheetml/2006/main" count="303" uniqueCount="109">
  <si>
    <t>R</t>
  </si>
  <si>
    <t>T</t>
  </si>
  <si>
    <t>B</t>
  </si>
  <si>
    <t>I_f</t>
  </si>
  <si>
    <t>I_v_rel</t>
  </si>
  <si>
    <t>L_dom_rel</t>
  </si>
  <si>
    <t>L_dom</t>
  </si>
  <si>
    <t>mA</t>
  </si>
  <si>
    <t>0</t>
  </si>
  <si>
    <t>nm</t>
  </si>
  <si>
    <t>T_j</t>
  </si>
  <si>
    <t>°C</t>
  </si>
  <si>
    <t>1</t>
  </si>
  <si>
    <t xml:space="preserve">If vs Iv </t>
  </si>
  <si>
    <t>If vs Ldom detal</t>
  </si>
  <si>
    <t>Iv vs Tj</t>
  </si>
  <si>
    <t>Ldom detal vs Tj</t>
  </si>
  <si>
    <t>Input If</t>
  </si>
  <si>
    <t>Tj</t>
  </si>
  <si>
    <t>G</t>
  </si>
  <si>
    <t>Cx</t>
  </si>
  <si>
    <t>Cy</t>
  </si>
  <si>
    <t>Brightness</t>
  </si>
  <si>
    <t>If(mA)</t>
  </si>
  <si>
    <r>
      <t>Tj(</t>
    </r>
    <r>
      <rPr>
        <sz val="11"/>
        <rFont val="Calibri"/>
        <family val="2"/>
        <scheme val="minor"/>
      </rPr>
      <t>℃)</t>
    </r>
  </si>
  <si>
    <t>Target</t>
  </si>
  <si>
    <t>LED info</t>
  </si>
  <si>
    <t>Duty Cycle</t>
  </si>
  <si>
    <t>Maximum</t>
  </si>
  <si>
    <t>Chip Brightness</t>
  </si>
  <si>
    <t>Total Brightness</t>
  </si>
  <si>
    <t>2.get Iv@If&amp;Tj</t>
  </si>
  <si>
    <t>3. get Ldom @If&amp;Tj</t>
  </si>
  <si>
    <t>1.get input color purity and Ldom</t>
  </si>
  <si>
    <t>Purity</t>
  </si>
  <si>
    <t>Ldom</t>
  </si>
  <si>
    <t>4. get Cx Cy (we assume purity is not changed)</t>
  </si>
  <si>
    <t>6.Duty cycle calculation</t>
  </si>
  <si>
    <t>6.1 Factor matrxi</t>
  </si>
  <si>
    <t>5.Final color and brightness group &amp; Targt from input table</t>
  </si>
  <si>
    <t>Value factor</t>
  </si>
  <si>
    <t>Brightness(mcd)</t>
  </si>
  <si>
    <t>Chip Brightness(mcd)</t>
  </si>
  <si>
    <t>VC</t>
  </si>
  <si>
    <t>AN</t>
  </si>
  <si>
    <t>J</t>
  </si>
  <si>
    <t>SG</t>
  </si>
  <si>
    <t>Bins of LRTB_GVSG</t>
  </si>
  <si>
    <t>Red</t>
  </si>
  <si>
    <t>Group</t>
  </si>
  <si>
    <t>Tpy: Get by average</t>
  </si>
  <si>
    <t>Green</t>
  </si>
  <si>
    <t>Blue</t>
  </si>
  <si>
    <t>H</t>
  </si>
  <si>
    <t>I</t>
  </si>
  <si>
    <t>K</t>
  </si>
  <si>
    <t>L</t>
  </si>
  <si>
    <t>M</t>
  </si>
  <si>
    <t>N</t>
  </si>
  <si>
    <t>O</t>
  </si>
  <si>
    <t>P</t>
  </si>
  <si>
    <t>Q</t>
  </si>
  <si>
    <t>Min(mcd)</t>
  </si>
  <si>
    <t>Max(mcd)</t>
  </si>
  <si>
    <t>Tpy: get by average</t>
  </si>
  <si>
    <t>Tpy(mcd)</t>
  </si>
  <si>
    <t>UE</t>
  </si>
  <si>
    <t>UF</t>
  </si>
  <si>
    <t>UG</t>
  </si>
  <si>
    <t>UH</t>
  </si>
  <si>
    <t>UI</t>
  </si>
  <si>
    <t>UJ</t>
  </si>
  <si>
    <t>VD</t>
  </si>
  <si>
    <t>VE</t>
  </si>
  <si>
    <t>AM</t>
  </si>
  <si>
    <t>AO</t>
  </si>
  <si>
    <t>AP</t>
  </si>
  <si>
    <t>AQ</t>
  </si>
  <si>
    <t>SC</t>
  </si>
  <si>
    <t>SD</t>
  </si>
  <si>
    <t>SE</t>
  </si>
  <si>
    <t>SF</t>
  </si>
  <si>
    <t>SH</t>
  </si>
  <si>
    <t>SI</t>
  </si>
  <si>
    <t>SJ</t>
  </si>
  <si>
    <t>TC</t>
  </si>
  <si>
    <t>TD</t>
  </si>
  <si>
    <t>TE</t>
  </si>
  <si>
    <t>TF</t>
  </si>
  <si>
    <t>TG</t>
  </si>
  <si>
    <t>TH</t>
  </si>
  <si>
    <t>TI</t>
  </si>
  <si>
    <t>TJ</t>
  </si>
  <si>
    <t>UC</t>
  </si>
  <si>
    <t>6.2 Inverse Matrxi</t>
  </si>
  <si>
    <t>6.3Result Matrxi</t>
  </si>
  <si>
    <t>this is just duty cycle</t>
  </si>
  <si>
    <t>7.1 get typical data from datasheet</t>
  </si>
  <si>
    <t xml:space="preserve">Color </t>
  </si>
  <si>
    <t>6.4 summary of calculated Duty cycle and brightness</t>
  </si>
  <si>
    <t>Duty cycle</t>
  </si>
  <si>
    <t>6.5 maximum duty cycle and brightness</t>
  </si>
  <si>
    <t>Lambda</t>
  </si>
  <si>
    <t>x func</t>
  </si>
  <si>
    <t>y func</t>
  </si>
  <si>
    <t>z func</t>
  </si>
  <si>
    <t>CIE x</t>
  </si>
  <si>
    <t>CIE y</t>
  </si>
  <si>
    <t>Purple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</si>
</sst>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Protection="1">
      <protection hidden="1"/>
    </xf>
    <xf numFmtId="0" fontId="0" fillId="2" borderId="1" xfId="0" applyFill="1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0" fontId="0" fillId="3" borderId="1" xfId="0" applyFill="1" applyBorder="1" applyProtection="1">
      <protection hidden="1"/>
    </xf>
    <xf numFmtId="0" fontId="0" fillId="4" borderId="1" xfId="0" applyFill="1" applyBorder="1" applyProtection="1"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3" borderId="0" xfId="0" applyFill="1" applyAlignment="1" applyProtection="1">
      <alignment horizontal="left"/>
      <protection hidden="1"/>
    </xf>
    <xf numFmtId="0" fontId="0" fillId="6" borderId="0" xfId="0" applyFill="1" applyAlignment="1" applyProtection="1">
      <alignment horizontal="lef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4" borderId="0" xfId="0" applyFill="1" applyAlignment="1" applyProtection="1">
      <alignment horizontal="left"/>
      <protection hidden="1"/>
    </xf>
    <xf numFmtId="166" fontId="0" fillId="5" borderId="1" xfId="0" applyNumberFormat="1" applyFill="1" applyBorder="1" applyAlignment="1" applyProtection="1">
      <alignment horizontal="left"/>
      <protection locked="0" hidden="1"/>
    </xf>
    <xf numFmtId="0" fontId="0" fillId="5" borderId="1" xfId="0" applyFill="1" applyBorder="1" applyAlignment="1" applyProtection="1">
      <alignment horizontal="left"/>
      <protection locked="0" hidden="1"/>
    </xf>
    <xf numFmtId="0" fontId="0" fillId="7" borderId="0" xfId="0" applyFill="1" applyProtection="1">
      <protection hidden="1"/>
    </xf>
    <xf numFmtId="0" fontId="0" fillId="7" borderId="0" xfId="0" applyFill="1" applyBorder="1" applyProtection="1">
      <protection hidden="1"/>
    </xf>
    <xf numFmtId="0" fontId="0" fillId="5" borderId="0" xfId="0" applyFill="1" applyProtection="1">
      <protection hidden="1"/>
    </xf>
    <xf numFmtId="0" fontId="0" fillId="5" borderId="0" xfId="0" applyFill="1" applyBorder="1" applyAlignment="1" applyProtection="1">
      <protection hidden="1"/>
    </xf>
    <xf numFmtId="0" fontId="0" fillId="7" borderId="0" xfId="0" applyFont="1" applyFill="1" applyBorder="1" applyAlignment="1" applyProtection="1">
      <alignment horizontal="left"/>
      <protection hidden="1"/>
    </xf>
    <xf numFmtId="0" fontId="0" fillId="5" borderId="1" xfId="0" applyFill="1" applyBorder="1" applyProtection="1">
      <protection hidden="1"/>
    </xf>
    <xf numFmtId="0" fontId="0" fillId="5" borderId="1" xfId="0" applyFill="1" applyBorder="1" applyAlignment="1" applyProtection="1"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/>
      <protection locked="0" hidden="1"/>
    </xf>
    <xf numFmtId="0" fontId="2" fillId="0" borderId="0" xfId="0" applyFont="1" applyProtection="1">
      <protection hidden="1"/>
    </xf>
    <xf numFmtId="0" fontId="2" fillId="2" borderId="1" xfId="0" applyFont="1" applyFill="1" applyBorder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3" borderId="1" xfId="0" applyFont="1" applyFill="1" applyBorder="1" applyProtection="1">
      <protection hidden="1"/>
    </xf>
    <xf numFmtId="0" fontId="2" fillId="4" borderId="1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2" fillId="0" borderId="1" xfId="0" applyFont="1" applyBorder="1" applyAlignment="1" applyProtection="1">
      <alignment horizontal="left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protection hidden="1"/>
    </xf>
    <xf numFmtId="0" fontId="2" fillId="5" borderId="4" xfId="0" applyFont="1" applyFill="1" applyBorder="1" applyAlignment="1" applyProtection="1">
      <alignment horizontal="left"/>
      <protection hidden="1"/>
    </xf>
    <xf numFmtId="0" fontId="2" fillId="0" borderId="0" xfId="0" applyFont="1" applyBorder="1" applyProtection="1">
      <protection hidden="1"/>
    </xf>
    <xf numFmtId="0" fontId="2" fillId="5" borderId="1" xfId="0" applyFont="1" applyFill="1" applyBorder="1" applyAlignment="1" applyProtection="1">
      <alignment horizontal="left"/>
      <protection hidden="1"/>
    </xf>
    <xf numFmtId="164" fontId="2" fillId="0" borderId="1" xfId="0" applyNumberFormat="1" applyFont="1" applyBorder="1" applyAlignment="1" applyProtection="1">
      <alignment horizontal="left"/>
      <protection hidden="1"/>
    </xf>
    <xf numFmtId="164" fontId="2" fillId="0" borderId="0" xfId="0" applyNumberFormat="1" applyFont="1" applyProtection="1">
      <protection hidden="1"/>
    </xf>
    <xf numFmtId="165" fontId="2" fillId="0" borderId="0" xfId="0" applyNumberFormat="1" applyFont="1" applyProtection="1">
      <protection hidden="1"/>
    </xf>
    <xf numFmtId="164" fontId="0" fillId="5" borderId="1" xfId="0" applyNumberFormat="1" applyFill="1" applyBorder="1" applyAlignment="1" applyProtection="1">
      <alignment horizontal="left"/>
      <protection hidden="1"/>
    </xf>
    <xf numFmtId="2" fontId="0" fillId="5" borderId="1" xfId="0" applyNumberFormat="1" applyFill="1" applyBorder="1" applyAlignment="1" applyProtection="1">
      <alignment horizontal="left"/>
      <protection hidden="1"/>
    </xf>
    <xf numFmtId="165" fontId="0" fillId="5" borderId="1" xfId="0" applyNumberFormat="1" applyFill="1" applyBorder="1" applyAlignment="1" applyProtection="1">
      <alignment horizontal="left"/>
      <protection hidden="1"/>
    </xf>
    <xf numFmtId="0" fontId="0" fillId="0" borderId="0" xfId="0" applyAlignment="1">
      <alignment horizontal="left"/>
    </xf>
    <xf numFmtId="0" fontId="0" fillId="5" borderId="4" xfId="0" applyFill="1" applyBorder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0" fillId="5" borderId="6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11" xfId="0" applyFill="1" applyBorder="1" applyAlignment="1" applyProtection="1">
      <alignment horizont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3" fillId="5" borderId="9" xfId="0" applyFont="1" applyFill="1" applyBorder="1" applyAlignment="1" applyProtection="1">
      <alignment horizontal="center" vertical="center"/>
      <protection hidden="1"/>
    </xf>
    <xf numFmtId="0" fontId="3" fillId="5" borderId="3" xfId="0" applyFont="1" applyFill="1" applyBorder="1" applyAlignment="1" applyProtection="1">
      <alignment horizontal="center" vertical="center"/>
      <protection hidden="1"/>
    </xf>
    <xf numFmtId="165" fontId="0" fillId="5" borderId="1" xfId="0" applyNumberFormat="1" applyFill="1" applyBorder="1" applyAlignment="1" applyProtection="1">
      <alignment horizontal="center"/>
      <protection hidden="1"/>
    </xf>
    <xf numFmtId="0" fontId="0" fillId="5" borderId="4" xfId="0" applyFill="1" applyBorder="1" applyAlignment="1" applyProtection="1">
      <protection hidden="1"/>
    </xf>
    <xf numFmtId="0" fontId="0" fillId="5" borderId="5" xfId="0" applyFill="1" applyBorder="1" applyAlignment="1" applyProtection="1">
      <protection hidden="1"/>
    </xf>
    <xf numFmtId="0" fontId="0" fillId="5" borderId="6" xfId="0" applyFill="1" applyBorder="1" applyAlignment="1" applyProtection="1">
      <protection hidden="1"/>
    </xf>
    <xf numFmtId="0" fontId="0" fillId="5" borderId="12" xfId="0" applyFill="1" applyBorder="1" applyAlignment="1" applyProtection="1">
      <alignment horizontal="center"/>
      <protection hidden="1"/>
    </xf>
    <xf numFmtId="0" fontId="0" fillId="5" borderId="7" xfId="0" applyFill="1" applyBorder="1" applyAlignment="1" applyProtection="1">
      <alignment horizontal="center"/>
      <protection hidden="1"/>
    </xf>
    <xf numFmtId="0" fontId="0" fillId="5" borderId="13" xfId="0" applyFill="1" applyBorder="1" applyAlignment="1" applyProtection="1">
      <alignment horizontal="center"/>
      <protection hidden="1"/>
    </xf>
    <xf numFmtId="0" fontId="0" fillId="5" borderId="8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left" vertical="center"/>
      <protection hidden="1"/>
    </xf>
    <xf numFmtId="0" fontId="4" fillId="5" borderId="12" xfId="0" applyFont="1" applyFill="1" applyBorder="1" applyAlignment="1" applyProtection="1">
      <alignment horizontal="left" vertical="top" wrapText="1"/>
      <protection hidden="1"/>
    </xf>
    <xf numFmtId="0" fontId="4" fillId="5" borderId="0" xfId="0" applyFont="1" applyFill="1" applyBorder="1" applyAlignment="1" applyProtection="1">
      <alignment horizontal="left" vertical="top" wrapText="1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left" vertical="center"/>
      <protection hidden="1"/>
    </xf>
    <xf numFmtId="0" fontId="2" fillId="5" borderId="1" xfId="0" applyFont="1" applyFill="1" applyBorder="1" applyAlignment="1" applyProtection="1">
      <alignment horizontal="center" readingOrder="1"/>
      <protection hidden="1"/>
    </xf>
  </cellXfs>
  <cellStyles count="2">
    <cellStyle name="Default" xfId="1"/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FF9900"/>
      <color rgb="FF0000FF"/>
      <color rgb="FF00FF00"/>
      <color rgb="FF87E20E"/>
      <color rgb="FFFF00FF"/>
      <color rgb="FF00008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CIE1931</c:v>
          </c:tx>
          <c:spPr>
            <a:ln w="25400" cap="rnd">
              <a:solidFill>
                <a:srgbClr val="000080"/>
              </a:solidFill>
              <a:round/>
            </a:ln>
            <a:effectLst/>
          </c:spPr>
          <c:marker>
            <c:symbol val="none"/>
          </c:marker>
          <c:xVal>
            <c:numRef>
              <c:f>CIE1931xyz!$E$42:$E$342</c:f>
              <c:numCache>
                <c:formatCode>General</c:formatCode>
                <c:ptCount val="301"/>
                <c:pt idx="0">
                  <c:v>0.17333686548078087</c:v>
                </c:pt>
                <c:pt idx="1">
                  <c:v>0.17329128565876098</c:v>
                </c:pt>
                <c:pt idx="2">
                  <c:v>0.17323792045311176</c:v>
                </c:pt>
                <c:pt idx="3">
                  <c:v>0.1731742387762352</c:v>
                </c:pt>
                <c:pt idx="4">
                  <c:v>0.17310101220851534</c:v>
                </c:pt>
                <c:pt idx="5">
                  <c:v>0.17302096545549503</c:v>
                </c:pt>
                <c:pt idx="6">
                  <c:v>0.17293425685085945</c:v>
                </c:pt>
                <c:pt idx="7">
                  <c:v>0.17284275613534886</c:v>
                </c:pt>
                <c:pt idx="8">
                  <c:v>0.17275115260334731</c:v>
                </c:pt>
                <c:pt idx="9">
                  <c:v>0.17266210558122241</c:v>
                </c:pt>
                <c:pt idx="10">
                  <c:v>0.17257655084880216</c:v>
                </c:pt>
                <c:pt idx="11">
                  <c:v>0.1724894773818017</c:v>
                </c:pt>
                <c:pt idx="12">
                  <c:v>0.1723956033841732</c:v>
                </c:pt>
                <c:pt idx="13">
                  <c:v>0.17229600175501908</c:v>
                </c:pt>
                <c:pt idx="14">
                  <c:v>0.17219236036195854</c:v>
                </c:pt>
                <c:pt idx="15">
                  <c:v>0.17208663075524816</c:v>
                </c:pt>
                <c:pt idx="16">
                  <c:v>0.17198244593822173</c:v>
                </c:pt>
                <c:pt idx="17">
                  <c:v>0.17187101944567443</c:v>
                </c:pt>
                <c:pt idx="18">
                  <c:v>0.17174121370573661</c:v>
                </c:pt>
                <c:pt idx="19">
                  <c:v>0.17158723936484679</c:v>
                </c:pt>
                <c:pt idx="20">
                  <c:v>0.17140743386310878</c:v>
                </c:pt>
                <c:pt idx="21">
                  <c:v>0.17120611346159365</c:v>
                </c:pt>
                <c:pt idx="22">
                  <c:v>0.17099257422180436</c:v>
                </c:pt>
                <c:pt idx="23">
                  <c:v>0.17077059636790887</c:v>
                </c:pt>
                <c:pt idx="24">
                  <c:v>0.17054066192352893</c:v>
                </c:pt>
                <c:pt idx="25">
                  <c:v>0.17030098877973635</c:v>
                </c:pt>
                <c:pt idx="26">
                  <c:v>0.17005015866814935</c:v>
                </c:pt>
                <c:pt idx="27">
                  <c:v>0.16978586875086982</c:v>
                </c:pt>
                <c:pt idx="28">
                  <c:v>0.16950460253225408</c:v>
                </c:pt>
                <c:pt idx="29">
                  <c:v>0.16920292171212717</c:v>
                </c:pt>
                <c:pt idx="30">
                  <c:v>0.16887752067098924</c:v>
                </c:pt>
                <c:pt idx="31">
                  <c:v>0.16852466034424879</c:v>
                </c:pt>
                <c:pt idx="32">
                  <c:v>0.1681461454615307</c:v>
                </c:pt>
                <c:pt idx="33">
                  <c:v>0.16774621982653679</c:v>
                </c:pt>
                <c:pt idx="34">
                  <c:v>0.16732832574459608</c:v>
                </c:pt>
                <c:pt idx="35">
                  <c:v>0.16689529035208048</c:v>
                </c:pt>
                <c:pt idx="36">
                  <c:v>0.16644632713500276</c:v>
                </c:pt>
                <c:pt idx="37">
                  <c:v>0.16597675823065589</c:v>
                </c:pt>
                <c:pt idx="38">
                  <c:v>0.16548329901146577</c:v>
                </c:pt>
                <c:pt idx="39">
                  <c:v>0.16496266372025936</c:v>
                </c:pt>
                <c:pt idx="40">
                  <c:v>0.16441175637527497</c:v>
                </c:pt>
                <c:pt idx="41">
                  <c:v>0.16382843276160772</c:v>
                </c:pt>
                <c:pt idx="42">
                  <c:v>0.16320989595442198</c:v>
                </c:pt>
                <c:pt idx="43">
                  <c:v>0.16255213950679903</c:v>
                </c:pt>
                <c:pt idx="44">
                  <c:v>0.16185143806508925</c:v>
                </c:pt>
                <c:pt idx="45">
                  <c:v>0.16110457958027455</c:v>
                </c:pt>
                <c:pt idx="46">
                  <c:v>0.16030959501938935</c:v>
                </c:pt>
                <c:pt idx="47">
                  <c:v>0.15946594575801773</c:v>
                </c:pt>
                <c:pt idx="48">
                  <c:v>0.15857311107590655</c:v>
                </c:pt>
                <c:pt idx="49">
                  <c:v>0.15763116557826212</c:v>
                </c:pt>
                <c:pt idx="50">
                  <c:v>0.15664093257730707</c:v>
                </c:pt>
                <c:pt idx="51">
                  <c:v>0.1556050955827476</c:v>
                </c:pt>
                <c:pt idx="52">
                  <c:v>0.15452461249468066</c:v>
                </c:pt>
                <c:pt idx="53">
                  <c:v>0.15339722933643224</c:v>
                </c:pt>
                <c:pt idx="54">
                  <c:v>0.15221923622825251</c:v>
                </c:pt>
                <c:pt idx="55">
                  <c:v>0.15098540837597121</c:v>
                </c:pt>
                <c:pt idx="56">
                  <c:v>0.14969056475871326</c:v>
                </c:pt>
                <c:pt idx="57">
                  <c:v>0.14833681706794871</c:v>
                </c:pt>
                <c:pt idx="58">
                  <c:v>0.14692822650137571</c:v>
                </c:pt>
                <c:pt idx="59">
                  <c:v>0.14546837177852154</c:v>
                </c:pt>
                <c:pt idx="60">
                  <c:v>0.14396039603960395</c:v>
                </c:pt>
                <c:pt idx="61">
                  <c:v>0.14240509019010106</c:v>
                </c:pt>
                <c:pt idx="62">
                  <c:v>0.1407956466645903</c:v>
                </c:pt>
                <c:pt idx="63">
                  <c:v>0.13912068242657052</c:v>
                </c:pt>
                <c:pt idx="64">
                  <c:v>0.13736375793511826</c:v>
                </c:pt>
                <c:pt idx="65">
                  <c:v>0.13550267119961146</c:v>
                </c:pt>
                <c:pt idx="66">
                  <c:v>0.13350934095590797</c:v>
                </c:pt>
                <c:pt idx="67">
                  <c:v>0.13137063523557516</c:v>
                </c:pt>
                <c:pt idx="68">
                  <c:v>0.12908578655718694</c:v>
                </c:pt>
                <c:pt idx="69">
                  <c:v>0.12666215697700947</c:v>
                </c:pt>
                <c:pt idx="70">
                  <c:v>0.12411847672778563</c:v>
                </c:pt>
                <c:pt idx="71">
                  <c:v>0.12146858391308266</c:v>
                </c:pt>
                <c:pt idx="72">
                  <c:v>0.11870127645203925</c:v>
                </c:pt>
                <c:pt idx="73">
                  <c:v>0.11580735876839725</c:v>
                </c:pt>
                <c:pt idx="74">
                  <c:v>0.11277605484761011</c:v>
                </c:pt>
                <c:pt idx="75">
                  <c:v>0.10959432361561004</c:v>
                </c:pt>
                <c:pt idx="76">
                  <c:v>0.10626073531792782</c:v>
                </c:pt>
                <c:pt idx="77">
                  <c:v>0.10277586294650982</c:v>
                </c:pt>
                <c:pt idx="78">
                  <c:v>9.9127599901673302E-2</c:v>
                </c:pt>
                <c:pt idx="79">
                  <c:v>9.5304056214991273E-2</c:v>
                </c:pt>
                <c:pt idx="80">
                  <c:v>9.1293507002271179E-2</c:v>
                </c:pt>
                <c:pt idx="81">
                  <c:v>8.7082431727096427E-2</c:v>
                </c:pt>
                <c:pt idx="82">
                  <c:v>8.2679534481970976E-2</c:v>
                </c:pt>
                <c:pt idx="83">
                  <c:v>7.811598573330121E-2</c:v>
                </c:pt>
                <c:pt idx="84">
                  <c:v>7.3437259904749766E-2</c:v>
                </c:pt>
                <c:pt idx="85">
                  <c:v>6.870592129105553E-2</c:v>
                </c:pt>
                <c:pt idx="86">
                  <c:v>6.3993023686906653E-2</c:v>
                </c:pt>
                <c:pt idx="87">
                  <c:v>5.931582798062307E-2</c:v>
                </c:pt>
                <c:pt idx="88">
                  <c:v>5.4666522876195216E-2</c:v>
                </c:pt>
                <c:pt idx="89">
                  <c:v>5.003149705811967E-2</c:v>
                </c:pt>
                <c:pt idx="90">
                  <c:v>4.5390734674777722E-2</c:v>
                </c:pt>
                <c:pt idx="91">
                  <c:v>4.0757315336025356E-2</c:v>
                </c:pt>
                <c:pt idx="92">
                  <c:v>3.619510915393985E-2</c:v>
                </c:pt>
                <c:pt idx="93">
                  <c:v>3.1756470378920841E-2</c:v>
                </c:pt>
                <c:pt idx="94">
                  <c:v>2.7494190534784295E-2</c:v>
                </c:pt>
                <c:pt idx="95">
                  <c:v>2.3459942547079473E-2</c:v>
                </c:pt>
                <c:pt idx="96">
                  <c:v>1.9704636302953663E-2</c:v>
                </c:pt>
                <c:pt idx="97">
                  <c:v>1.6268471267238335E-2</c:v>
                </c:pt>
                <c:pt idx="98">
                  <c:v>1.3183041153080763E-2</c:v>
                </c:pt>
                <c:pt idx="99">
                  <c:v>1.0475700683125562E-2</c:v>
                </c:pt>
                <c:pt idx="100">
                  <c:v>8.1680280046674426E-3</c:v>
                </c:pt>
                <c:pt idx="101">
                  <c:v>6.2848515726400224E-3</c:v>
                </c:pt>
                <c:pt idx="102">
                  <c:v>4.8754299926907947E-3</c:v>
                </c:pt>
                <c:pt idx="103">
                  <c:v>3.9824253523528703E-3</c:v>
                </c:pt>
                <c:pt idx="104">
                  <c:v>3.6363842254527679E-3</c:v>
                </c:pt>
                <c:pt idx="105">
                  <c:v>3.8585209003215433E-3</c:v>
                </c:pt>
                <c:pt idx="106">
                  <c:v>4.6457132325555262E-3</c:v>
                </c:pt>
                <c:pt idx="107">
                  <c:v>6.0109130716960281E-3</c:v>
                </c:pt>
                <c:pt idx="108">
                  <c:v>7.9883958286533531E-3</c:v>
                </c:pt>
                <c:pt idx="109">
                  <c:v>1.0603290554259022E-2</c:v>
                </c:pt>
                <c:pt idx="110">
                  <c:v>1.3870246085011185E-2</c:v>
                </c:pt>
                <c:pt idx="111">
                  <c:v>1.7766124205862953E-2</c:v>
                </c:pt>
                <c:pt idx="112">
                  <c:v>2.2244205694743918E-2</c:v>
                </c:pt>
                <c:pt idx="113">
                  <c:v>2.7273262420170041E-2</c:v>
                </c:pt>
                <c:pt idx="114">
                  <c:v>3.2820357522217493E-2</c:v>
                </c:pt>
                <c:pt idx="115">
                  <c:v>3.8851802403204273E-2</c:v>
                </c:pt>
                <c:pt idx="116">
                  <c:v>4.5327984829413914E-2</c:v>
                </c:pt>
                <c:pt idx="117">
                  <c:v>5.2176690905216899E-2</c:v>
                </c:pt>
                <c:pt idx="118">
                  <c:v>5.9325533351987141E-2</c:v>
                </c:pt>
                <c:pt idx="119">
                  <c:v>6.6715886027034557E-2</c:v>
                </c:pt>
                <c:pt idx="120">
                  <c:v>7.4302424773374967E-2</c:v>
                </c:pt>
                <c:pt idx="121">
                  <c:v>8.2053395235806542E-2</c:v>
                </c:pt>
                <c:pt idx="122">
                  <c:v>8.9941739585336078E-2</c:v>
                </c:pt>
                <c:pt idx="123">
                  <c:v>9.7939750110556056E-2</c:v>
                </c:pt>
                <c:pt idx="124">
                  <c:v>0.1060211073322406</c:v>
                </c:pt>
                <c:pt idx="125">
                  <c:v>0.11416071960667966</c:v>
                </c:pt>
                <c:pt idx="126">
                  <c:v>0.12234736703370142</c:v>
                </c:pt>
                <c:pt idx="127">
                  <c:v>0.13054566813839383</c:v>
                </c:pt>
                <c:pt idx="128">
                  <c:v>0.13870234921423477</c:v>
                </c:pt>
                <c:pt idx="129">
                  <c:v>0.14677321573836422</c:v>
                </c:pt>
                <c:pt idx="130">
                  <c:v>0.15472206121571341</c:v>
                </c:pt>
                <c:pt idx="131">
                  <c:v>0.16253542465545565</c:v>
                </c:pt>
                <c:pt idx="132">
                  <c:v>0.17023719547892346</c:v>
                </c:pt>
                <c:pt idx="133">
                  <c:v>0.17784952801174228</c:v>
                </c:pt>
                <c:pt idx="134">
                  <c:v>0.185390757399363</c:v>
                </c:pt>
                <c:pt idx="135">
                  <c:v>0.19287609787772117</c:v>
                </c:pt>
                <c:pt idx="136">
                  <c:v>0.20030879814494176</c:v>
                </c:pt>
                <c:pt idx="137">
                  <c:v>0.20768998966657368</c:v>
                </c:pt>
                <c:pt idx="138">
                  <c:v>0.21502955000576848</c:v>
                </c:pt>
                <c:pt idx="139">
                  <c:v>0.22233660375820374</c:v>
                </c:pt>
                <c:pt idx="140">
                  <c:v>0.22961967264964023</c:v>
                </c:pt>
                <c:pt idx="141">
                  <c:v>0.23688472059830754</c:v>
                </c:pt>
                <c:pt idx="142">
                  <c:v>0.24413255647382395</c:v>
                </c:pt>
                <c:pt idx="143">
                  <c:v>0.25136340887073821</c:v>
                </c:pt>
                <c:pt idx="144">
                  <c:v>0.25857750845525057</c:v>
                </c:pt>
                <c:pt idx="145">
                  <c:v>0.26577508497118374</c:v>
                </c:pt>
                <c:pt idx="146">
                  <c:v>0.27295760351093018</c:v>
                </c:pt>
                <c:pt idx="147">
                  <c:v>0.28012894248159209</c:v>
                </c:pt>
                <c:pt idx="148">
                  <c:v>0.28729240908025949</c:v>
                </c:pt>
                <c:pt idx="149">
                  <c:v>0.2944502808943964</c:v>
                </c:pt>
                <c:pt idx="150">
                  <c:v>0.30160379939575122</c:v>
                </c:pt>
                <c:pt idx="151">
                  <c:v>0.30875992309265654</c:v>
                </c:pt>
                <c:pt idx="152">
                  <c:v>0.31591439444899189</c:v>
                </c:pt>
                <c:pt idx="153">
                  <c:v>0.32306626538212901</c:v>
                </c:pt>
                <c:pt idx="154">
                  <c:v>0.33021554535689746</c:v>
                </c:pt>
                <c:pt idx="155">
                  <c:v>0.33736333285085651</c:v>
                </c:pt>
                <c:pt idx="156">
                  <c:v>0.34451319835545352</c:v>
                </c:pt>
                <c:pt idx="157">
                  <c:v>0.35166441129682047</c:v>
                </c:pt>
                <c:pt idx="158">
                  <c:v>0.35881368668430313</c:v>
                </c:pt>
                <c:pt idx="159">
                  <c:v>0.36595935734911894</c:v>
                </c:pt>
                <c:pt idx="160">
                  <c:v>0.3731015438684574</c:v>
                </c:pt>
                <c:pt idx="161">
                  <c:v>0.38024383546406509</c:v>
                </c:pt>
                <c:pt idx="162">
                  <c:v>0.38737897795864384</c:v>
                </c:pt>
                <c:pt idx="163">
                  <c:v>0.39450654879688879</c:v>
                </c:pt>
                <c:pt idx="164">
                  <c:v>0.40162591883118104</c:v>
                </c:pt>
                <c:pt idx="165">
                  <c:v>0.40873625570642341</c:v>
                </c:pt>
                <c:pt idx="166">
                  <c:v>0.41583577470555944</c:v>
                </c:pt>
                <c:pt idx="167">
                  <c:v>0.42292092670979625</c:v>
                </c:pt>
                <c:pt idx="168">
                  <c:v>0.42998862651243847</c:v>
                </c:pt>
                <c:pt idx="169">
                  <c:v>0.43703642259389081</c:v>
                </c:pt>
                <c:pt idx="170">
                  <c:v>0.44406246358233309</c:v>
                </c:pt>
                <c:pt idx="171">
                  <c:v>0.45106494095076721</c:v>
                </c:pt>
                <c:pt idx="172">
                  <c:v>0.45804066564742263</c:v>
                </c:pt>
                <c:pt idx="173">
                  <c:v>0.46498633297763331</c:v>
                </c:pt>
                <c:pt idx="174">
                  <c:v>0.47189874389966813</c:v>
                </c:pt>
                <c:pt idx="175">
                  <c:v>0.4787747911575837</c:v>
                </c:pt>
                <c:pt idx="176">
                  <c:v>0.48561158705209129</c:v>
                </c:pt>
                <c:pt idx="177">
                  <c:v>0.49240498233429586</c:v>
                </c:pt>
                <c:pt idx="178">
                  <c:v>0.49915066833429805</c:v>
                </c:pt>
                <c:pt idx="179">
                  <c:v>0.50584528379402149</c:v>
                </c:pt>
                <c:pt idx="180">
                  <c:v>0.51248636678179682</c:v>
                </c:pt>
                <c:pt idx="181">
                  <c:v>0.51907251040063629</c:v>
                </c:pt>
                <c:pt idx="182">
                  <c:v>0.52560048898545109</c:v>
                </c:pt>
                <c:pt idx="183">
                  <c:v>0.53206559916124041</c:v>
                </c:pt>
                <c:pt idx="184">
                  <c:v>0.53846276190255371</c:v>
                </c:pt>
                <c:pt idx="185">
                  <c:v>0.54478650559483377</c:v>
                </c:pt>
                <c:pt idx="186">
                  <c:v>0.55103105021229248</c:v>
                </c:pt>
                <c:pt idx="187">
                  <c:v>0.55719290609603389</c:v>
                </c:pt>
                <c:pt idx="188">
                  <c:v>0.56326931237315703</c:v>
                </c:pt>
                <c:pt idx="189">
                  <c:v>0.56925682412472567</c:v>
                </c:pt>
                <c:pt idx="190">
                  <c:v>0.57515131136516473</c:v>
                </c:pt>
                <c:pt idx="191">
                  <c:v>0.58095260516092317</c:v>
                </c:pt>
                <c:pt idx="192">
                  <c:v>0.58665018689089132</c:v>
                </c:pt>
                <c:pt idx="193">
                  <c:v>0.59222480007094114</c:v>
                </c:pt>
                <c:pt idx="194">
                  <c:v>0.5976581621052407</c:v>
                </c:pt>
                <c:pt idx="195">
                  <c:v>0.60293278557571617</c:v>
                </c:pt>
                <c:pt idx="196">
                  <c:v>0.60803511113228548</c:v>
                </c:pt>
                <c:pt idx="197">
                  <c:v>0.61297699957081186</c:v>
                </c:pt>
                <c:pt idx="198">
                  <c:v>0.61777872558528291</c:v>
                </c:pt>
                <c:pt idx="199">
                  <c:v>0.6224592950786233</c:v>
                </c:pt>
                <c:pt idx="200">
                  <c:v>0.62703659976387249</c:v>
                </c:pt>
                <c:pt idx="201">
                  <c:v>0.6315209428602595</c:v>
                </c:pt>
                <c:pt idx="202">
                  <c:v>0.63589981957626585</c:v>
                </c:pt>
                <c:pt idx="203">
                  <c:v>0.64015615954788063</c:v>
                </c:pt>
                <c:pt idx="204">
                  <c:v>0.64427296065727446</c:v>
                </c:pt>
                <c:pt idx="205">
                  <c:v>0.64823310601363926</c:v>
                </c:pt>
                <c:pt idx="206">
                  <c:v>0.65202823571792956</c:v>
                </c:pt>
                <c:pt idx="207">
                  <c:v>0.65566917924950052</c:v>
                </c:pt>
                <c:pt idx="208">
                  <c:v>0.65916613469271157</c:v>
                </c:pt>
                <c:pt idx="209">
                  <c:v>0.66252822205368822</c:v>
                </c:pt>
                <c:pt idx="210">
                  <c:v>0.66576357623809712</c:v>
                </c:pt>
                <c:pt idx="211">
                  <c:v>0.66887414366355769</c:v>
                </c:pt>
                <c:pt idx="212">
                  <c:v>0.67185866714758857</c:v>
                </c:pt>
                <c:pt idx="213">
                  <c:v>0.67471951111151562</c:v>
                </c:pt>
                <c:pt idx="214">
                  <c:v>0.67745888827516587</c:v>
                </c:pt>
                <c:pt idx="215">
                  <c:v>0.68007884972170685</c:v>
                </c:pt>
                <c:pt idx="216">
                  <c:v>0.68258157418700982</c:v>
                </c:pt>
                <c:pt idx="217">
                  <c:v>0.68497060144870903</c:v>
                </c:pt>
                <c:pt idx="218">
                  <c:v>0.6872504545566942</c:v>
                </c:pt>
                <c:pt idx="219">
                  <c:v>0.68942630302799601</c:v>
                </c:pt>
                <c:pt idx="220">
                  <c:v>0.69150397296170196</c:v>
                </c:pt>
                <c:pt idx="221">
                  <c:v>0.69348963497263427</c:v>
                </c:pt>
                <c:pt idx="222">
                  <c:v>0.69538863810195151</c:v>
                </c:pt>
                <c:pt idx="223">
                  <c:v>0.69720556977869075</c:v>
                </c:pt>
                <c:pt idx="224">
                  <c:v>0.69894391038579451</c:v>
                </c:pt>
                <c:pt idx="225">
                  <c:v>0.70060606060606057</c:v>
                </c:pt>
                <c:pt idx="226">
                  <c:v>0.70219258854064526</c:v>
                </c:pt>
                <c:pt idx="227">
                  <c:v>0.70370869101945688</c:v>
                </c:pt>
                <c:pt idx="228">
                  <c:v>0.70516285342369045</c:v>
                </c:pt>
                <c:pt idx="229">
                  <c:v>0.70656324669384774</c:v>
                </c:pt>
                <c:pt idx="230">
                  <c:v>0.70791779162166424</c:v>
                </c:pt>
                <c:pt idx="231">
                  <c:v>0.70923098541397323</c:v>
                </c:pt>
                <c:pt idx="232">
                  <c:v>0.71050039449537117</c:v>
                </c:pt>
                <c:pt idx="233">
                  <c:v>0.71172414617504909</c:v>
                </c:pt>
                <c:pt idx="234">
                  <c:v>0.71290123112984993</c:v>
                </c:pt>
                <c:pt idx="235">
                  <c:v>0.71403159711699371</c:v>
                </c:pt>
                <c:pt idx="236">
                  <c:v>0.71511705348318533</c:v>
                </c:pt>
                <c:pt idx="237">
                  <c:v>0.71615919859911403</c:v>
                </c:pt>
                <c:pt idx="238">
                  <c:v>0.71715861364212141</c:v>
                </c:pt>
                <c:pt idx="239">
                  <c:v>0.71811614260216206</c:v>
                </c:pt>
                <c:pt idx="240">
                  <c:v>0.71903294162974374</c:v>
                </c:pt>
                <c:pt idx="241">
                  <c:v>0.71991155294229514</c:v>
                </c:pt>
                <c:pt idx="242">
                  <c:v>0.72075270663980695</c:v>
                </c:pt>
                <c:pt idx="243">
                  <c:v>0.72155452248691709</c:v>
                </c:pt>
                <c:pt idx="244">
                  <c:v>0.72231491556020744</c:v>
                </c:pt>
                <c:pt idx="245">
                  <c:v>0.72303160257309473</c:v>
                </c:pt>
                <c:pt idx="246">
                  <c:v>0.72370191604043421</c:v>
                </c:pt>
                <c:pt idx="247">
                  <c:v>0.72432801892637366</c:v>
                </c:pt>
                <c:pt idx="248">
                  <c:v>0.72491440513420979</c:v>
                </c:pt>
                <c:pt idx="249">
                  <c:v>0.72546677609818588</c:v>
                </c:pt>
                <c:pt idx="250">
                  <c:v>0.72599231754161331</c:v>
                </c:pt>
                <c:pt idx="251">
                  <c:v>0.72649472671358217</c:v>
                </c:pt>
                <c:pt idx="252">
                  <c:v>0.726974970468941</c:v>
                </c:pt>
                <c:pt idx="253">
                  <c:v>0.72743183803803246</c:v>
                </c:pt>
                <c:pt idx="254">
                  <c:v>0.72786431079265246</c:v>
                </c:pt>
                <c:pt idx="255">
                  <c:v>0.72827172827172826</c:v>
                </c:pt>
                <c:pt idx="256">
                  <c:v>0.7286564871003478</c:v>
                </c:pt>
                <c:pt idx="257">
                  <c:v>0.72902003030935358</c:v>
                </c:pt>
                <c:pt idx="258">
                  <c:v>0.72936095069467233</c:v>
                </c:pt>
                <c:pt idx="259">
                  <c:v>0.72967778323775678</c:v>
                </c:pt>
                <c:pt idx="260">
                  <c:v>0.72996901283753868</c:v>
                </c:pt>
                <c:pt idx="261">
                  <c:v>0.73023394914085349</c:v>
                </c:pt>
                <c:pt idx="262">
                  <c:v>0.73047416530226228</c:v>
                </c:pt>
                <c:pt idx="263">
                  <c:v>0.73069330672388766</c:v>
                </c:pt>
                <c:pt idx="264">
                  <c:v>0.73089625224290145</c:v>
                </c:pt>
                <c:pt idx="265">
                  <c:v>0.73108939558450958</c:v>
                </c:pt>
                <c:pt idx="266">
                  <c:v>0.7312796359190783</c:v>
                </c:pt>
                <c:pt idx="267">
                  <c:v>0.73146705090128505</c:v>
                </c:pt>
                <c:pt idx="268">
                  <c:v>0.73164997092201434</c:v>
                </c:pt>
                <c:pt idx="269">
                  <c:v>0.73182633348464288</c:v>
                </c:pt>
                <c:pt idx="270">
                  <c:v>0.73199329983249584</c:v>
                </c:pt>
                <c:pt idx="271">
                  <c:v>0.732150422161567</c:v>
                </c:pt>
                <c:pt idx="272">
                  <c:v>0.73229983108462438</c:v>
                </c:pt>
                <c:pt idx="273">
                  <c:v>0.73244282287101425</c:v>
                </c:pt>
                <c:pt idx="274">
                  <c:v>0.732581493590162</c:v>
                </c:pt>
                <c:pt idx="275">
                  <c:v>0.73271889400921664</c:v>
                </c:pt>
                <c:pt idx="276">
                  <c:v>0.73285864726847805</c:v>
                </c:pt>
                <c:pt idx="277">
                  <c:v>0.73300020525301868</c:v>
                </c:pt>
                <c:pt idx="278">
                  <c:v>0.7331416711371237</c:v>
                </c:pt>
                <c:pt idx="279">
                  <c:v>0.73328117893472566</c:v>
                </c:pt>
                <c:pt idx="280">
                  <c:v>0.73341696722596839</c:v>
                </c:pt>
                <c:pt idx="281">
                  <c:v>0.73355058584797173</c:v>
                </c:pt>
                <c:pt idx="282">
                  <c:v>0.73368329643559604</c:v>
                </c:pt>
                <c:pt idx="283">
                  <c:v>0.73381271668813797</c:v>
                </c:pt>
                <c:pt idx="284">
                  <c:v>0.73393569031449191</c:v>
                </c:pt>
                <c:pt idx="285">
                  <c:v>0.73404730031236054</c:v>
                </c:pt>
                <c:pt idx="286">
                  <c:v>0.7341425568966552</c:v>
                </c:pt>
                <c:pt idx="287">
                  <c:v>0.73422147025077644</c:v>
                </c:pt>
                <c:pt idx="288">
                  <c:v>0.73428644636675966</c:v>
                </c:pt>
                <c:pt idx="289">
                  <c:v>0.73434091995872408</c:v>
                </c:pt>
                <c:pt idx="290">
                  <c:v>0.7343901649951472</c:v>
                </c:pt>
                <c:pt idx="291">
                  <c:v>0.73443771265578939</c:v>
                </c:pt>
                <c:pt idx="292">
                  <c:v>0.73448217041109964</c:v>
                </c:pt>
                <c:pt idx="293">
                  <c:v>0.73452293055208961</c:v>
                </c:pt>
                <c:pt idx="294">
                  <c:v>0.73455951842228906</c:v>
                </c:pt>
                <c:pt idx="295">
                  <c:v>0.73459166164262857</c:v>
                </c:pt>
                <c:pt idx="296">
                  <c:v>0.73462109471289894</c:v>
                </c:pt>
                <c:pt idx="297">
                  <c:v>0.73464889683581924</c:v>
                </c:pt>
                <c:pt idx="298">
                  <c:v>0.73467337801056731</c:v>
                </c:pt>
                <c:pt idx="299">
                  <c:v>0.73469004544415184</c:v>
                </c:pt>
                <c:pt idx="300">
                  <c:v>0.73469002325828081</c:v>
                </c:pt>
              </c:numCache>
            </c:numRef>
          </c:xVal>
          <c:yVal>
            <c:numRef>
              <c:f>CIE1931xyz!$F$42:$F$342</c:f>
              <c:numCache>
                <c:formatCode>General</c:formatCode>
                <c:ptCount val="301"/>
                <c:pt idx="0">
                  <c:v>4.7967434472668919E-3</c:v>
                </c:pt>
                <c:pt idx="1">
                  <c:v>4.785845648145385E-3</c:v>
                </c:pt>
                <c:pt idx="2">
                  <c:v>4.7788879322168635E-3</c:v>
                </c:pt>
                <c:pt idx="3">
                  <c:v>4.7751307998352387E-3</c:v>
                </c:pt>
                <c:pt idx="4">
                  <c:v>4.7740306744907474E-3</c:v>
                </c:pt>
                <c:pt idx="5">
                  <c:v>4.775050361859285E-3</c:v>
                </c:pt>
                <c:pt idx="6">
                  <c:v>4.7811471717814661E-3</c:v>
                </c:pt>
                <c:pt idx="7">
                  <c:v>4.790792949067051E-3</c:v>
                </c:pt>
                <c:pt idx="8">
                  <c:v>4.7987620992631357E-3</c:v>
                </c:pt>
                <c:pt idx="9">
                  <c:v>4.8020843563219484E-3</c:v>
                </c:pt>
                <c:pt idx="10">
                  <c:v>4.7993019197207672E-3</c:v>
                </c:pt>
                <c:pt idx="11">
                  <c:v>4.7952543644012042E-3</c:v>
                </c:pt>
                <c:pt idx="12">
                  <c:v>4.7961185889349089E-3</c:v>
                </c:pt>
                <c:pt idx="13">
                  <c:v>4.802629473471271E-3</c:v>
                </c:pt>
                <c:pt idx="14">
                  <c:v>4.814885214020498E-3</c:v>
                </c:pt>
                <c:pt idx="15">
                  <c:v>4.8325242180399458E-3</c:v>
                </c:pt>
                <c:pt idx="16">
                  <c:v>4.8550101685644583E-3</c:v>
                </c:pt>
                <c:pt idx="17">
                  <c:v>4.8885319215121086E-3</c:v>
                </c:pt>
                <c:pt idx="18">
                  <c:v>4.9393324566168722E-3</c:v>
                </c:pt>
                <c:pt idx="19">
                  <c:v>5.0103442068392384E-3</c:v>
                </c:pt>
                <c:pt idx="20">
                  <c:v>5.1021709737493308E-3</c:v>
                </c:pt>
                <c:pt idx="21">
                  <c:v>5.2112577766981359E-3</c:v>
                </c:pt>
                <c:pt idx="22">
                  <c:v>5.3339077620158182E-3</c:v>
                </c:pt>
                <c:pt idx="23">
                  <c:v>5.470121247497837E-3</c:v>
                </c:pt>
                <c:pt idx="24">
                  <c:v>5.6209699334746214E-3</c:v>
                </c:pt>
                <c:pt idx="25">
                  <c:v>5.7885049964709941E-3</c:v>
                </c:pt>
                <c:pt idx="26">
                  <c:v>5.973895107891071E-3</c:v>
                </c:pt>
                <c:pt idx="27">
                  <c:v>6.1768074881594871E-3</c:v>
                </c:pt>
                <c:pt idx="28">
                  <c:v>6.3980369068780294E-3</c:v>
                </c:pt>
                <c:pt idx="29">
                  <c:v>6.6387059183874364E-3</c:v>
                </c:pt>
                <c:pt idx="30">
                  <c:v>6.900243887930522E-3</c:v>
                </c:pt>
                <c:pt idx="31">
                  <c:v>7.1840438880237485E-3</c:v>
                </c:pt>
                <c:pt idx="32">
                  <c:v>7.4906796663236274E-3</c:v>
                </c:pt>
                <c:pt idx="33">
                  <c:v>7.8208184884215794E-3</c:v>
                </c:pt>
                <c:pt idx="34">
                  <c:v>8.1753996750012423E-3</c:v>
                </c:pt>
                <c:pt idx="35">
                  <c:v>8.5556063608189809E-3</c:v>
                </c:pt>
                <c:pt idx="36">
                  <c:v>8.9644004177574996E-3</c:v>
                </c:pt>
                <c:pt idx="37">
                  <c:v>9.4017162268687539E-3</c:v>
                </c:pt>
                <c:pt idx="38">
                  <c:v>9.8646809723459319E-3</c:v>
                </c:pt>
                <c:pt idx="39">
                  <c:v>1.0350743541482398E-2</c:v>
                </c:pt>
                <c:pt idx="40">
                  <c:v>1.0857558276763881E-2</c:v>
                </c:pt>
                <c:pt idx="41">
                  <c:v>1.1384865615964085E-2</c:v>
                </c:pt>
                <c:pt idx="42">
                  <c:v>1.1937385814567738E-2</c:v>
                </c:pt>
                <c:pt idx="43">
                  <c:v>1.2520029917585367E-2</c:v>
                </c:pt>
                <c:pt idx="44">
                  <c:v>1.3137307095434019E-2</c:v>
                </c:pt>
                <c:pt idx="45">
                  <c:v>1.3793358821732408E-2</c:v>
                </c:pt>
                <c:pt idx="46">
                  <c:v>1.4491378166333682E-2</c:v>
                </c:pt>
                <c:pt idx="47">
                  <c:v>1.5232064643725285E-2</c:v>
                </c:pt>
                <c:pt idx="48">
                  <c:v>1.6015156415588771E-2</c:v>
                </c:pt>
                <c:pt idx="49">
                  <c:v>1.6839870971509401E-2</c:v>
                </c:pt>
                <c:pt idx="50">
                  <c:v>1.7704804990891342E-2</c:v>
                </c:pt>
                <c:pt idx="51">
                  <c:v>1.8608606524007223E-2</c:v>
                </c:pt>
                <c:pt idx="52">
                  <c:v>1.9555697804539564E-2</c:v>
                </c:pt>
                <c:pt idx="53">
                  <c:v>2.0553733529856944E-2</c:v>
                </c:pt>
                <c:pt idx="54">
                  <c:v>2.161171102090214E-2</c:v>
                </c:pt>
                <c:pt idx="55">
                  <c:v>2.2740193291642983E-2</c:v>
                </c:pt>
                <c:pt idx="56">
                  <c:v>2.3950330195758446E-2</c:v>
                </c:pt>
                <c:pt idx="57">
                  <c:v>2.5247398431728255E-2</c:v>
                </c:pt>
                <c:pt idx="58">
                  <c:v>2.6635185857687801E-2</c:v>
                </c:pt>
                <c:pt idx="59">
                  <c:v>2.8118433329704512E-2</c:v>
                </c:pt>
                <c:pt idx="60">
                  <c:v>2.9702970297029702E-2</c:v>
                </c:pt>
                <c:pt idx="61">
                  <c:v>3.1393583986229545E-2</c:v>
                </c:pt>
                <c:pt idx="62">
                  <c:v>3.3213154606260037E-2</c:v>
                </c:pt>
                <c:pt idx="63">
                  <c:v>3.5200572826801745E-2</c:v>
                </c:pt>
                <c:pt idx="64">
                  <c:v>3.7403090443634081E-2</c:v>
                </c:pt>
                <c:pt idx="65">
                  <c:v>3.9879121472127785E-2</c:v>
                </c:pt>
                <c:pt idx="66">
                  <c:v>4.2692390010526202E-2</c:v>
                </c:pt>
                <c:pt idx="67">
                  <c:v>4.5875975222547327E-2</c:v>
                </c:pt>
                <c:pt idx="68">
                  <c:v>4.9449810659734882E-2</c:v>
                </c:pt>
                <c:pt idx="69">
                  <c:v>5.3425919773049717E-2</c:v>
                </c:pt>
                <c:pt idx="70">
                  <c:v>5.7802513373740462E-2</c:v>
                </c:pt>
                <c:pt idx="71">
                  <c:v>6.2587672066553274E-2</c:v>
                </c:pt>
                <c:pt idx="72">
                  <c:v>6.7830443532348614E-2</c:v>
                </c:pt>
                <c:pt idx="73">
                  <c:v>7.3580707972841441E-2</c:v>
                </c:pt>
                <c:pt idx="74">
                  <c:v>7.9895822895960866E-2</c:v>
                </c:pt>
                <c:pt idx="75">
                  <c:v>8.6842511183094231E-2</c:v>
                </c:pt>
                <c:pt idx="76">
                  <c:v>9.4486072203720503E-2</c:v>
                </c:pt>
                <c:pt idx="77">
                  <c:v>0.1028637388181517</c:v>
                </c:pt>
                <c:pt idx="78">
                  <c:v>0.11200703303719517</c:v>
                </c:pt>
                <c:pt idx="79">
                  <c:v>0.12194486325465793</c:v>
                </c:pt>
                <c:pt idx="80">
                  <c:v>0.13270204248699016</c:v>
                </c:pt>
                <c:pt idx="81">
                  <c:v>0.14431658268023254</c:v>
                </c:pt>
                <c:pt idx="82">
                  <c:v>0.15686595807723955</c:v>
                </c:pt>
                <c:pt idx="83">
                  <c:v>0.17042048647650457</c:v>
                </c:pt>
                <c:pt idx="84">
                  <c:v>0.18503188052711952</c:v>
                </c:pt>
                <c:pt idx="85">
                  <c:v>0.20072321772810223</c:v>
                </c:pt>
                <c:pt idx="86">
                  <c:v>0.21746760540506083</c:v>
                </c:pt>
                <c:pt idx="87">
                  <c:v>0.23525374024124548</c:v>
                </c:pt>
                <c:pt idx="88">
                  <c:v>0.25409559074702476</c:v>
                </c:pt>
                <c:pt idx="89">
                  <c:v>0.27400180321980216</c:v>
                </c:pt>
                <c:pt idx="90">
                  <c:v>0.2949759646062875</c:v>
                </c:pt>
                <c:pt idx="91">
                  <c:v>0.31698108083999443</c:v>
                </c:pt>
                <c:pt idx="92">
                  <c:v>0.33989993441394173</c:v>
                </c:pt>
                <c:pt idx="93">
                  <c:v>0.36359769324634267</c:v>
                </c:pt>
                <c:pt idx="94">
                  <c:v>0.38792132828082937</c:v>
                </c:pt>
                <c:pt idx="95">
                  <c:v>0.41270347909352056</c:v>
                </c:pt>
                <c:pt idx="96">
                  <c:v>0.43775588865207382</c:v>
                </c:pt>
                <c:pt idx="97">
                  <c:v>0.46295450798860593</c:v>
                </c:pt>
                <c:pt idx="98">
                  <c:v>0.48820706841228018</c:v>
                </c:pt>
                <c:pt idx="99">
                  <c:v>0.51340424516021199</c:v>
                </c:pt>
                <c:pt idx="100">
                  <c:v>0.53842307051175187</c:v>
                </c:pt>
                <c:pt idx="101">
                  <c:v>0.56306845632161562</c:v>
                </c:pt>
                <c:pt idx="102">
                  <c:v>0.58711643804460245</c:v>
                </c:pt>
                <c:pt idx="103">
                  <c:v>0.61044749763867434</c:v>
                </c:pt>
                <c:pt idx="104">
                  <c:v>0.63301138275080437</c:v>
                </c:pt>
                <c:pt idx="105">
                  <c:v>0.6548231511254019</c:v>
                </c:pt>
                <c:pt idx="106">
                  <c:v>0.67589845859925257</c:v>
                </c:pt>
                <c:pt idx="107">
                  <c:v>0.69612006133620585</c:v>
                </c:pt>
                <c:pt idx="108">
                  <c:v>0.71534151625583076</c:v>
                </c:pt>
                <c:pt idx="109">
                  <c:v>0.73341294265155588</c:v>
                </c:pt>
                <c:pt idx="110">
                  <c:v>0.750186428038777</c:v>
                </c:pt>
                <c:pt idx="111">
                  <c:v>0.76561215443419617</c:v>
                </c:pt>
                <c:pt idx="112">
                  <c:v>0.77962992320077129</c:v>
                </c:pt>
                <c:pt idx="113">
                  <c:v>0.79210350283126341</c:v>
                </c:pt>
                <c:pt idx="114">
                  <c:v>0.80292567298964013</c:v>
                </c:pt>
                <c:pt idx="115">
                  <c:v>0.81201602136181572</c:v>
                </c:pt>
                <c:pt idx="116">
                  <c:v>0.81939080045608104</c:v>
                </c:pt>
                <c:pt idx="117">
                  <c:v>0.82516354258253621</c:v>
                </c:pt>
                <c:pt idx="118">
                  <c:v>0.82942577629655079</c:v>
                </c:pt>
                <c:pt idx="119">
                  <c:v>0.83227373928386827</c:v>
                </c:pt>
                <c:pt idx="120">
                  <c:v>0.8338030913402279</c:v>
                </c:pt>
                <c:pt idx="121">
                  <c:v>0.83409031450494431</c:v>
                </c:pt>
                <c:pt idx="122">
                  <c:v>0.83328891889595835</c:v>
                </c:pt>
                <c:pt idx="123">
                  <c:v>0.83159266649874075</c:v>
                </c:pt>
                <c:pt idx="124">
                  <c:v>0.82917818663109899</c:v>
                </c:pt>
                <c:pt idx="125">
                  <c:v>0.82620695978118885</c:v>
                </c:pt>
                <c:pt idx="126">
                  <c:v>0.82277039956386899</c:v>
                </c:pt>
                <c:pt idx="127">
                  <c:v>0.81892785290940362</c:v>
                </c:pt>
                <c:pt idx="128">
                  <c:v>0.81477438259494728</c:v>
                </c:pt>
                <c:pt idx="129">
                  <c:v>0.81039460654781081</c:v>
                </c:pt>
                <c:pt idx="130">
                  <c:v>0.8058635454256492</c:v>
                </c:pt>
                <c:pt idx="131">
                  <c:v>0.80123848041361068</c:v>
                </c:pt>
                <c:pt idx="132">
                  <c:v>0.79651854224541219</c:v>
                </c:pt>
                <c:pt idx="133">
                  <c:v>0.79168657905991635</c:v>
                </c:pt>
                <c:pt idx="134">
                  <c:v>0.78672777282068129</c:v>
                </c:pt>
                <c:pt idx="135">
                  <c:v>0.78162921636307703</c:v>
                </c:pt>
                <c:pt idx="136">
                  <c:v>0.7763994160506198</c:v>
                </c:pt>
                <c:pt idx="137">
                  <c:v>0.77105479866032411</c:v>
                </c:pt>
                <c:pt idx="138">
                  <c:v>0.7655950960606106</c:v>
                </c:pt>
                <c:pt idx="139">
                  <c:v>0.76001999974083623</c:v>
                </c:pt>
                <c:pt idx="140">
                  <c:v>0.75432908990274372</c:v>
                </c:pt>
                <c:pt idx="141">
                  <c:v>0.74852446517477467</c:v>
                </c:pt>
                <c:pt idx="142">
                  <c:v>0.74261399168137254</c:v>
                </c:pt>
                <c:pt idx="143">
                  <c:v>0.73660558136244469</c:v>
                </c:pt>
                <c:pt idx="144">
                  <c:v>0.73050660190974714</c:v>
                </c:pt>
                <c:pt idx="145">
                  <c:v>0.72432392492980646</c:v>
                </c:pt>
                <c:pt idx="146">
                  <c:v>0.71806218641678965</c:v>
                </c:pt>
                <c:pt idx="147">
                  <c:v>0.71172473456919272</c:v>
                </c:pt>
                <c:pt idx="148">
                  <c:v>0.70531627388828255</c:v>
                </c:pt>
                <c:pt idx="149">
                  <c:v>0.69884202202238066</c:v>
                </c:pt>
                <c:pt idx="150">
                  <c:v>0.69230776237157421</c:v>
                </c:pt>
                <c:pt idx="151">
                  <c:v>0.68571206060674028</c:v>
                </c:pt>
                <c:pt idx="152">
                  <c:v>0.67906347999092953</c:v>
                </c:pt>
                <c:pt idx="153">
                  <c:v>0.67236739796874934</c:v>
                </c:pt>
                <c:pt idx="154">
                  <c:v>0.66562802541714927</c:v>
                </c:pt>
                <c:pt idx="155">
                  <c:v>0.65884829013968849</c:v>
                </c:pt>
                <c:pt idx="156">
                  <c:v>0.65202820921784399</c:v>
                </c:pt>
                <c:pt idx="157">
                  <c:v>0.64517217424539797</c:v>
                </c:pt>
                <c:pt idx="158">
                  <c:v>0.63828733653775271</c:v>
                </c:pt>
                <c:pt idx="159">
                  <c:v>0.63137908089984907</c:v>
                </c:pt>
                <c:pt idx="160">
                  <c:v>0.62445085979666115</c:v>
                </c:pt>
                <c:pt idx="161">
                  <c:v>0.61750215217370474</c:v>
                </c:pt>
                <c:pt idx="162">
                  <c:v>0.61054180245501632</c:v>
                </c:pt>
                <c:pt idx="163">
                  <c:v>0.60357133679159736</c:v>
                </c:pt>
                <c:pt idx="164">
                  <c:v>0.59659242196256179</c:v>
                </c:pt>
                <c:pt idx="165">
                  <c:v>0.58960686885953117</c:v>
                </c:pt>
                <c:pt idx="166">
                  <c:v>0.5826179680569763</c:v>
                </c:pt>
                <c:pt idx="167">
                  <c:v>0.57563068832318753</c:v>
                </c:pt>
                <c:pt idx="168">
                  <c:v>0.56864889127080398</c:v>
                </c:pt>
                <c:pt idx="169">
                  <c:v>0.56167577404936708</c:v>
                </c:pt>
                <c:pt idx="170">
                  <c:v>0.5547139028085305</c:v>
                </c:pt>
                <c:pt idx="171">
                  <c:v>0.54776604412944496</c:v>
                </c:pt>
                <c:pt idx="172">
                  <c:v>0.54083662916440234</c:v>
                </c:pt>
                <c:pt idx="173">
                  <c:v>0.5339300530568315</c:v>
                </c:pt>
                <c:pt idx="174">
                  <c:v>0.52705056921926163</c:v>
                </c:pt>
                <c:pt idx="175">
                  <c:v>0.52020230721145644</c:v>
                </c:pt>
                <c:pt idx="176">
                  <c:v>0.51338866096156044</c:v>
                </c:pt>
                <c:pt idx="177">
                  <c:v>0.50661492442092559</c:v>
                </c:pt>
                <c:pt idx="178">
                  <c:v>0.49988734043830646</c:v>
                </c:pt>
                <c:pt idx="179">
                  <c:v>0.49321117810754139</c:v>
                </c:pt>
                <c:pt idx="180">
                  <c:v>0.48659078806085698</c:v>
                </c:pt>
                <c:pt idx="181">
                  <c:v>0.48002861217644738</c:v>
                </c:pt>
                <c:pt idx="182">
                  <c:v>0.47352737397552891</c:v>
                </c:pt>
                <c:pt idx="183">
                  <c:v>0.46709136370390947</c:v>
                </c:pt>
                <c:pt idx="184">
                  <c:v>0.46072525384084173</c:v>
                </c:pt>
                <c:pt idx="185">
                  <c:v>0.45443411456883592</c:v>
                </c:pt>
                <c:pt idx="186">
                  <c:v>0.44822450290997451</c:v>
                </c:pt>
                <c:pt idx="187">
                  <c:v>0.44209913948418994</c:v>
                </c:pt>
                <c:pt idx="188">
                  <c:v>0.43605806173667433</c:v>
                </c:pt>
                <c:pt idx="189">
                  <c:v>0.43010197360508357</c:v>
                </c:pt>
                <c:pt idx="190">
                  <c:v>0.42423223492490469</c:v>
                </c:pt>
                <c:pt idx="191">
                  <c:v>0.41844687981653728</c:v>
                </c:pt>
                <c:pt idx="192">
                  <c:v>0.41275842119209594</c:v>
                </c:pt>
                <c:pt idx="193">
                  <c:v>0.40718952858546686</c:v>
                </c:pt>
                <c:pt idx="194">
                  <c:v>0.40176193497228024</c:v>
                </c:pt>
                <c:pt idx="195">
                  <c:v>0.39649663357297732</c:v>
                </c:pt>
                <c:pt idx="196">
                  <c:v>0.39140915170770763</c:v>
                </c:pt>
                <c:pt idx="197">
                  <c:v>0.38648615733169772</c:v>
                </c:pt>
                <c:pt idx="198">
                  <c:v>0.38170575682850383</c:v>
                </c:pt>
                <c:pt idx="199">
                  <c:v>0.37704728638073942</c:v>
                </c:pt>
                <c:pt idx="200">
                  <c:v>0.37249114521841797</c:v>
                </c:pt>
                <c:pt idx="201">
                  <c:v>0.36802601082179143</c:v>
                </c:pt>
                <c:pt idx="202">
                  <c:v>0.36366540243326684</c:v>
                </c:pt>
                <c:pt idx="203">
                  <c:v>0.35942772430378439</c:v>
                </c:pt>
                <c:pt idx="204">
                  <c:v>0.35533136977159269</c:v>
                </c:pt>
                <c:pt idx="205">
                  <c:v>0.35139491630502168</c:v>
                </c:pt>
                <c:pt idx="206">
                  <c:v>0.34762796074842345</c:v>
                </c:pt>
                <c:pt idx="207">
                  <c:v>0.34401829484441604</c:v>
                </c:pt>
                <c:pt idx="208">
                  <c:v>0.34055322541223254</c:v>
                </c:pt>
                <c:pt idx="209">
                  <c:v>0.33722099260721289</c:v>
                </c:pt>
                <c:pt idx="210">
                  <c:v>0.33401065115476053</c:v>
                </c:pt>
                <c:pt idx="211">
                  <c:v>0.33091855300248674</c:v>
                </c:pt>
                <c:pt idx="212">
                  <c:v>0.32794707429990366</c:v>
                </c:pt>
                <c:pt idx="213">
                  <c:v>0.32509518200425536</c:v>
                </c:pt>
                <c:pt idx="214">
                  <c:v>0.32236207668863276</c:v>
                </c:pt>
                <c:pt idx="215">
                  <c:v>0.31974721706864562</c:v>
                </c:pt>
                <c:pt idx="216">
                  <c:v>0.31724870596230287</c:v>
                </c:pt>
                <c:pt idx="217">
                  <c:v>0.31486281501532531</c:v>
                </c:pt>
                <c:pt idx="218">
                  <c:v>0.31258596399559685</c:v>
                </c:pt>
                <c:pt idx="219">
                  <c:v>0.31041401128591317</c:v>
                </c:pt>
                <c:pt idx="220">
                  <c:v>0.30834226055665576</c:v>
                </c:pt>
                <c:pt idx="221">
                  <c:v>0.30636569081755638</c:v>
                </c:pt>
                <c:pt idx="222">
                  <c:v>0.30447855519964845</c:v>
                </c:pt>
                <c:pt idx="223">
                  <c:v>0.30267507270396826</c:v>
                </c:pt>
                <c:pt idx="224">
                  <c:v>0.30095042497899638</c:v>
                </c:pt>
                <c:pt idx="225">
                  <c:v>0.2993006993006993</c:v>
                </c:pt>
                <c:pt idx="226">
                  <c:v>0.29772451186299281</c:v>
                </c:pt>
                <c:pt idx="227">
                  <c:v>0.29621711805447126</c:v>
                </c:pt>
                <c:pt idx="228">
                  <c:v>0.29477029208623856</c:v>
                </c:pt>
                <c:pt idx="229">
                  <c:v>0.29337615317320792</c:v>
                </c:pt>
                <c:pt idx="230">
                  <c:v>0.29202710893483969</c:v>
                </c:pt>
                <c:pt idx="231">
                  <c:v>0.29071862216532085</c:v>
                </c:pt>
                <c:pt idx="232">
                  <c:v>0.28945294120316928</c:v>
                </c:pt>
                <c:pt idx="233">
                  <c:v>0.28823210479895461</c:v>
                </c:pt>
                <c:pt idx="234">
                  <c:v>0.28705732036370962</c:v>
                </c:pt>
                <c:pt idx="235">
                  <c:v>0.28592887354564978</c:v>
                </c:pt>
                <c:pt idx="236">
                  <c:v>0.28484510612877634</c:v>
                </c:pt>
                <c:pt idx="237">
                  <c:v>0.28380444918167402</c:v>
                </c:pt>
                <c:pt idx="238">
                  <c:v>0.28280641193093098</c:v>
                </c:pt>
                <c:pt idx="239">
                  <c:v>0.28185025656265567</c:v>
                </c:pt>
                <c:pt idx="240">
                  <c:v>0.28093495151865405</c:v>
                </c:pt>
                <c:pt idx="241">
                  <c:v>0.28005807820672829</c:v>
                </c:pt>
                <c:pt idx="242">
                  <c:v>0.27921895982339456</c:v>
                </c:pt>
                <c:pt idx="243">
                  <c:v>0.27841951468527021</c:v>
                </c:pt>
                <c:pt idx="244">
                  <c:v>0.27766187036772411</c:v>
                </c:pt>
                <c:pt idx="245">
                  <c:v>0.2769483577483417</c:v>
                </c:pt>
                <c:pt idx="246">
                  <c:v>0.27628183624422575</c:v>
                </c:pt>
                <c:pt idx="247">
                  <c:v>0.27566007492057054</c:v>
                </c:pt>
                <c:pt idx="248">
                  <c:v>0.27507818405489931</c:v>
                </c:pt>
                <c:pt idx="249">
                  <c:v>0.2745299779782488</c:v>
                </c:pt>
                <c:pt idx="250">
                  <c:v>0.27400768245838669</c:v>
                </c:pt>
                <c:pt idx="251">
                  <c:v>0.27350527328641777</c:v>
                </c:pt>
                <c:pt idx="252">
                  <c:v>0.27302502953105906</c:v>
                </c:pt>
                <c:pt idx="253">
                  <c:v>0.27256816196196759</c:v>
                </c:pt>
                <c:pt idx="254">
                  <c:v>0.27213568920734765</c:v>
                </c:pt>
                <c:pt idx="255">
                  <c:v>0.27172827172827174</c:v>
                </c:pt>
                <c:pt idx="256">
                  <c:v>0.27134351289965225</c:v>
                </c:pt>
                <c:pt idx="257">
                  <c:v>0.27097996969064636</c:v>
                </c:pt>
                <c:pt idx="258">
                  <c:v>0.27063904930532778</c:v>
                </c:pt>
                <c:pt idx="259">
                  <c:v>0.27032221676224316</c:v>
                </c:pt>
                <c:pt idx="260">
                  <c:v>0.27003098716246127</c:v>
                </c:pt>
                <c:pt idx="261">
                  <c:v>0.26976605085914646</c:v>
                </c:pt>
                <c:pt idx="262">
                  <c:v>0.26952583469773767</c:v>
                </c:pt>
                <c:pt idx="263">
                  <c:v>0.26930669327611223</c:v>
                </c:pt>
                <c:pt idx="264">
                  <c:v>0.26910374775709855</c:v>
                </c:pt>
                <c:pt idx="265">
                  <c:v>0.26891060441549042</c:v>
                </c:pt>
                <c:pt idx="266">
                  <c:v>0.26872036408092181</c:v>
                </c:pt>
                <c:pt idx="267">
                  <c:v>0.26853294909871495</c:v>
                </c:pt>
                <c:pt idx="268">
                  <c:v>0.26835002907798566</c:v>
                </c:pt>
                <c:pt idx="269">
                  <c:v>0.26817366651535718</c:v>
                </c:pt>
                <c:pt idx="270">
                  <c:v>0.26800670016750416</c:v>
                </c:pt>
                <c:pt idx="271">
                  <c:v>0.26784957783843305</c:v>
                </c:pt>
                <c:pt idx="272">
                  <c:v>0.26770016891537562</c:v>
                </c:pt>
                <c:pt idx="273">
                  <c:v>0.26755717712898586</c:v>
                </c:pt>
                <c:pt idx="274">
                  <c:v>0.26741850640983805</c:v>
                </c:pt>
                <c:pt idx="275">
                  <c:v>0.26728110599078336</c:v>
                </c:pt>
                <c:pt idx="276">
                  <c:v>0.2671413527315219</c:v>
                </c:pt>
                <c:pt idx="277">
                  <c:v>0.26699979474698138</c:v>
                </c:pt>
                <c:pt idx="278">
                  <c:v>0.26685832886287625</c:v>
                </c:pt>
                <c:pt idx="279">
                  <c:v>0.26671882106527445</c:v>
                </c:pt>
                <c:pt idx="280">
                  <c:v>0.26658303277403173</c:v>
                </c:pt>
                <c:pt idx="281">
                  <c:v>0.26644941415202833</c:v>
                </c:pt>
                <c:pt idx="282">
                  <c:v>0.26631670356440401</c:v>
                </c:pt>
                <c:pt idx="283">
                  <c:v>0.26618728331186209</c:v>
                </c:pt>
                <c:pt idx="284">
                  <c:v>0.26606430968550804</c:v>
                </c:pt>
                <c:pt idx="285">
                  <c:v>0.26595269968763946</c:v>
                </c:pt>
                <c:pt idx="286">
                  <c:v>0.26585744310334469</c:v>
                </c:pt>
                <c:pt idx="287">
                  <c:v>0.26577852974922356</c:v>
                </c:pt>
                <c:pt idx="288">
                  <c:v>0.26571355363324045</c:v>
                </c:pt>
                <c:pt idx="289">
                  <c:v>0.26565908004127581</c:v>
                </c:pt>
                <c:pt idx="290">
                  <c:v>0.2656098350048528</c:v>
                </c:pt>
                <c:pt idx="291">
                  <c:v>0.26556228734421061</c:v>
                </c:pt>
                <c:pt idx="292">
                  <c:v>0.2655178295889003</c:v>
                </c:pt>
                <c:pt idx="293">
                  <c:v>0.26547706944791039</c:v>
                </c:pt>
                <c:pt idx="294">
                  <c:v>0.265440481577711</c:v>
                </c:pt>
                <c:pt idx="295">
                  <c:v>0.26540833835737143</c:v>
                </c:pt>
                <c:pt idx="296">
                  <c:v>0.26537890528710095</c:v>
                </c:pt>
                <c:pt idx="297">
                  <c:v>0.26535110316418092</c:v>
                </c:pt>
                <c:pt idx="298">
                  <c:v>0.2653266219894328</c:v>
                </c:pt>
                <c:pt idx="299">
                  <c:v>0.26530995455584816</c:v>
                </c:pt>
                <c:pt idx="300">
                  <c:v>0.26530997674171924</c:v>
                </c:pt>
              </c:numCache>
            </c:numRef>
          </c:yVal>
          <c:smooth val="0"/>
        </c:ser>
        <c:ser>
          <c:idx val="1"/>
          <c:order val="1"/>
          <c:tx>
            <c:v>Purple Line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CIE1931xyz!$J$2:$J$3</c:f>
              <c:numCache>
                <c:formatCode>General</c:formatCode>
                <c:ptCount val="2"/>
                <c:pt idx="0">
                  <c:v>0.73469002325828081</c:v>
                </c:pt>
                <c:pt idx="1">
                  <c:v>0.17333686548078087</c:v>
                </c:pt>
              </c:numCache>
            </c:numRef>
          </c:xVal>
          <c:yVal>
            <c:numRef>
              <c:f>CIE1931xyz!$K$2:$K$3</c:f>
              <c:numCache>
                <c:formatCode>General</c:formatCode>
                <c:ptCount val="2"/>
                <c:pt idx="0">
                  <c:v>0.26530997674171924</c:v>
                </c:pt>
                <c:pt idx="1">
                  <c:v>4.7967434472668919E-3</c:v>
                </c:pt>
              </c:numCache>
            </c:numRef>
          </c:yVal>
          <c:smooth val="0"/>
        </c:ser>
        <c:ser>
          <c:idx val="2"/>
          <c:order val="2"/>
          <c:tx>
            <c:v>red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8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 Mixing'!$D$6</c:f>
              <c:numCache>
                <c:formatCode>0.0000</c:formatCode>
                <c:ptCount val="1"/>
                <c:pt idx="0">
                  <c:v>0.70002500000000001</c:v>
                </c:pt>
              </c:numCache>
            </c:numRef>
          </c:xVal>
          <c:yVal>
            <c:numRef>
              <c:f>'RGB Mixing'!$E$6</c:f>
              <c:numCache>
                <c:formatCode>0.0000</c:formatCode>
                <c:ptCount val="1"/>
                <c:pt idx="0">
                  <c:v>0.29822500000000002</c:v>
                </c:pt>
              </c:numCache>
            </c:numRef>
          </c:yVal>
          <c:smooth val="0"/>
        </c:ser>
        <c:ser>
          <c:idx val="3"/>
          <c:order val="3"/>
          <c:tx>
            <c:v>Green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8"/>
            <c:spPr>
              <a:solidFill>
                <a:srgbClr val="00FF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 Mixing'!$D$7</c:f>
              <c:numCache>
                <c:formatCode>0.0000</c:formatCode>
                <c:ptCount val="1"/>
                <c:pt idx="0">
                  <c:v>0.25447500000000001</c:v>
                </c:pt>
              </c:numCache>
            </c:numRef>
          </c:xVal>
          <c:yVal>
            <c:numRef>
              <c:f>'RGB Mixing'!$E$7</c:f>
              <c:numCache>
                <c:formatCode>0.0000</c:formatCode>
                <c:ptCount val="1"/>
                <c:pt idx="0">
                  <c:v>0.70845000000000002</c:v>
                </c:pt>
              </c:numCache>
            </c:numRef>
          </c:yVal>
          <c:smooth val="0"/>
        </c:ser>
        <c:ser>
          <c:idx val="4"/>
          <c:order val="4"/>
          <c:tx>
            <c:v>Blue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8"/>
            <c:spPr>
              <a:solidFill>
                <a:srgbClr val="00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'RGB Mixing'!$D$8</c:f>
              <c:numCache>
                <c:formatCode>0.0000</c:formatCode>
                <c:ptCount val="1"/>
                <c:pt idx="0">
                  <c:v>0.13</c:v>
                </c:pt>
              </c:numCache>
            </c:numRef>
          </c:xVal>
          <c:yVal>
            <c:numRef>
              <c:f>'RGB Mixing'!$E$8</c:f>
              <c:numCache>
                <c:formatCode>0.0000</c:formatCode>
                <c:ptCount val="1"/>
                <c:pt idx="0">
                  <c:v>7.1175000000000002E-2</c:v>
                </c:pt>
              </c:numCache>
            </c:numRef>
          </c:yVal>
          <c:smooth val="0"/>
        </c:ser>
        <c:ser>
          <c:idx val="5"/>
          <c:order val="5"/>
          <c:tx>
            <c:v>Target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rgbClr val="FF99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'RGB Mixing'!$D$11</c:f>
              <c:numCache>
                <c:formatCode>General</c:formatCode>
                <c:ptCount val="1"/>
                <c:pt idx="0">
                  <c:v>0.33</c:v>
                </c:pt>
              </c:numCache>
            </c:numRef>
          </c:xVal>
          <c:yVal>
            <c:numRef>
              <c:f>'RGB Mixing'!$E$11</c:f>
              <c:numCache>
                <c:formatCode>General</c:formatCode>
                <c:ptCount val="1"/>
                <c:pt idx="0">
                  <c:v>0.33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73288"/>
        <c:axId val="130673680"/>
      </c:scatterChart>
      <c:valAx>
        <c:axId val="130673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73680"/>
        <c:crosses val="autoZero"/>
        <c:crossBetween val="midCat"/>
        <c:majorUnit val="0.1"/>
        <c:minorUnit val="5.000000000000001E-2"/>
      </c:valAx>
      <c:valAx>
        <c:axId val="130673680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73288"/>
        <c:crosses val="autoZero"/>
        <c:crossBetween val="midCat"/>
      </c:valAx>
      <c:spPr>
        <a:solidFill>
          <a:schemeClr val="bg1">
            <a:lumMod val="7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00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'IF-I'!$A$4:$A$10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'IF-I'!$B$4:$B$10</c:f>
              <c:numCache>
                <c:formatCode>General</c:formatCode>
                <c:ptCount val="7"/>
                <c:pt idx="0">
                  <c:v>2.5999999999999999E-2</c:v>
                </c:pt>
                <c:pt idx="1">
                  <c:v>7.0000000000000007E-2</c:v>
                </c:pt>
                <c:pt idx="2">
                  <c:v>0.22</c:v>
                </c:pt>
                <c:pt idx="3">
                  <c:v>0.49</c:v>
                </c:pt>
                <c:pt idx="4">
                  <c:v>1</c:v>
                </c:pt>
                <c:pt idx="5">
                  <c:v>1.5</c:v>
                </c:pt>
                <c:pt idx="6">
                  <c:v>1.95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73440"/>
        <c:axId val="434173832"/>
      </c:scatterChart>
      <c:valAx>
        <c:axId val="43417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3832"/>
        <c:crosses val="autoZero"/>
        <c:crossBetween val="midCat"/>
      </c:valAx>
      <c:valAx>
        <c:axId val="4341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'TJ-I'!$A$4:$A$12</c:f>
              <c:numCache>
                <c:formatCode>General</c:formatCode>
                <c:ptCount val="9"/>
                <c:pt idx="0">
                  <c:v>120</c:v>
                </c:pt>
                <c:pt idx="1">
                  <c:v>100</c:v>
                </c:pt>
                <c:pt idx="2">
                  <c:v>85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-10</c:v>
                </c:pt>
                <c:pt idx="7">
                  <c:v>-20</c:v>
                </c:pt>
                <c:pt idx="8">
                  <c:v>-40</c:v>
                </c:pt>
              </c:numCache>
            </c:numRef>
          </c:xVal>
          <c:yVal>
            <c:numRef>
              <c:f>'TJ-I'!$B$4:$B$12</c:f>
              <c:numCache>
                <c:formatCode>General</c:formatCode>
                <c:ptCount val="9"/>
                <c:pt idx="0">
                  <c:v>0.375</c:v>
                </c:pt>
                <c:pt idx="1">
                  <c:v>0.49099999999999999</c:v>
                </c:pt>
                <c:pt idx="2">
                  <c:v>0.58899999999999997</c:v>
                </c:pt>
                <c:pt idx="3">
                  <c:v>0.83199999999999996</c:v>
                </c:pt>
                <c:pt idx="4">
                  <c:v>1</c:v>
                </c:pt>
                <c:pt idx="5">
                  <c:v>1.1599999999999999</c:v>
                </c:pt>
                <c:pt idx="6">
                  <c:v>1.224</c:v>
                </c:pt>
                <c:pt idx="7">
                  <c:v>1.2889999999999999</c:v>
                </c:pt>
                <c:pt idx="8">
                  <c:v>1.417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74616"/>
        <c:axId val="298228400"/>
      </c:scatterChart>
      <c:valAx>
        <c:axId val="434174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228400"/>
        <c:crosses val="autoZero"/>
        <c:crossBetween val="midCat"/>
      </c:valAx>
      <c:valAx>
        <c:axId val="29822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-62581</xdr:colOff>
      <xdr:row>4</xdr:row>
      <xdr:rowOff>66675</xdr:rowOff>
    </xdr:from>
    <xdr:ext cx="748218" cy="1091004"/>
    <xdr:sp macro="" textlink="">
      <xdr:nvSpPr>
        <xdr:cNvPr id="2" name="TextBox 1"/>
        <xdr:cNvSpPr txBox="1"/>
      </xdr:nvSpPr>
      <xdr:spPr>
        <a:xfrm>
          <a:off x="-62581" y="828675"/>
          <a:ext cx="748218" cy="1091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t">
          <a:spAutoFit/>
        </a:bodyPr>
        <a:lstStyle/>
        <a:p>
          <a:r>
            <a:rPr lang="en-US" sz="3600"/>
            <a:t>Input</a:t>
          </a:r>
        </a:p>
      </xdr:txBody>
    </xdr:sp>
    <xdr:clientData/>
  </xdr:oneCellAnchor>
  <xdr:oneCellAnchor>
    <xdr:from>
      <xdr:col>1</xdr:col>
      <xdr:colOff>0</xdr:colOff>
      <xdr:row>14</xdr:row>
      <xdr:rowOff>38100</xdr:rowOff>
    </xdr:from>
    <xdr:ext cx="748218" cy="1435008"/>
    <xdr:sp macro="" textlink="">
      <xdr:nvSpPr>
        <xdr:cNvPr id="3" name="TextBox 2"/>
        <xdr:cNvSpPr txBox="1"/>
      </xdr:nvSpPr>
      <xdr:spPr>
        <a:xfrm>
          <a:off x="0" y="2705100"/>
          <a:ext cx="748218" cy="14350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t">
          <a:spAutoFit/>
        </a:bodyPr>
        <a:lstStyle/>
        <a:p>
          <a:r>
            <a:rPr lang="en-US" sz="3600"/>
            <a:t>Output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7</xdr:row>
          <xdr:rowOff>95250</xdr:rowOff>
        </xdr:from>
        <xdr:to>
          <xdr:col>13</xdr:col>
          <xdr:colOff>9525</xdr:colOff>
          <xdr:row>9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306917</xdr:colOff>
      <xdr:row>2</xdr:row>
      <xdr:rowOff>0</xdr:rowOff>
    </xdr:from>
    <xdr:to>
      <xdr:col>19</xdr:col>
      <xdr:colOff>74084</xdr:colOff>
      <xdr:row>22</xdr:row>
      <xdr:rowOff>190499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537260</xdr:colOff>
      <xdr:row>15</xdr:row>
      <xdr:rowOff>171202</xdr:rowOff>
    </xdr:from>
    <xdr:to>
      <xdr:col>13</xdr:col>
      <xdr:colOff>75826</xdr:colOff>
      <xdr:row>22</xdr:row>
      <xdr:rowOff>190253</xdr:rowOff>
    </xdr:to>
    <xdr:sp macro="" textlink="">
      <xdr:nvSpPr>
        <xdr:cNvPr id="8" name="Rectangle 7"/>
        <xdr:cNvSpPr/>
      </xdr:nvSpPr>
      <xdr:spPr>
        <a:xfrm>
          <a:off x="6196231" y="3028702"/>
          <a:ext cx="2676213" cy="135255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Note: </a:t>
          </a:r>
        </a:p>
        <a:p>
          <a:pPr algn="l"/>
          <a:r>
            <a:rPr lang="en-US" sz="1100"/>
            <a:t>you</a:t>
          </a:r>
          <a:r>
            <a:rPr lang="en-US" sz="1100" baseline="0"/>
            <a:t> can input data by yourself OR</a:t>
          </a:r>
        </a:p>
        <a:p>
          <a:pPr algn="l"/>
          <a:r>
            <a:rPr lang="en-US" sz="1100" baseline="0"/>
            <a:t>you can get typical data from above button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This Tool is internal use only !!!</a:t>
          </a:r>
        </a:p>
        <a:p>
          <a:pPr algn="l"/>
          <a:r>
            <a:rPr lang="en-US" sz="1100" baseline="0"/>
            <a:t>If you have any question, plese contact</a:t>
          </a:r>
        </a:p>
        <a:p>
          <a:pPr algn="l"/>
          <a:r>
            <a:rPr lang="en-US" sz="1100" baseline="0"/>
            <a:t>George Pan (g.pan@osram.com)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7</xdr:col>
          <xdr:colOff>542925</xdr:colOff>
          <xdr:row>49</xdr:row>
          <xdr:rowOff>161925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190500</xdr:colOff>
      <xdr:row>3</xdr:row>
      <xdr:rowOff>33337</xdr:rowOff>
    </xdr:from>
    <xdr:to>
      <xdr:col>25</xdr:col>
      <xdr:colOff>495300</xdr:colOff>
      <xdr:row>17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1</xdr:row>
      <xdr:rowOff>14287</xdr:rowOff>
    </xdr:from>
    <xdr:to>
      <xdr:col>23</xdr:col>
      <xdr:colOff>438150</xdr:colOff>
      <xdr:row>15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3"/>
  <sheetViews>
    <sheetView tabSelected="1" topLeftCell="B1" zoomScale="85" zoomScaleNormal="85" workbookViewId="0">
      <selection activeCell="M6" sqref="M6"/>
    </sheetView>
  </sheetViews>
  <sheetFormatPr defaultRowHeight="15" x14ac:dyDescent="0.25"/>
  <cols>
    <col min="1" max="1" width="4.7109375" style="18" customWidth="1"/>
    <col min="2" max="2" width="9.140625" style="18" customWidth="1"/>
    <col min="3" max="3" width="20.140625" style="18" bestFit="1" customWidth="1"/>
    <col min="4" max="4" width="9.140625" style="18" customWidth="1"/>
    <col min="5" max="5" width="8.140625" style="18" bestFit="1" customWidth="1"/>
    <col min="6" max="6" width="15.5703125" style="18" bestFit="1" customWidth="1"/>
    <col min="7" max="9" width="9.140625" style="18" customWidth="1"/>
    <col min="10" max="10" width="10.28515625" style="18" bestFit="1" customWidth="1"/>
    <col min="11" max="11" width="9.5703125" style="18" customWidth="1"/>
    <col min="12" max="14" width="9.140625" style="18" customWidth="1"/>
    <col min="15" max="18" width="9.140625" style="18"/>
    <col min="19" max="19" width="10.28515625" style="18" bestFit="1" customWidth="1"/>
    <col min="20" max="16384" width="9.140625" style="18"/>
  </cols>
  <sheetData>
    <row r="1" spans="1:23" x14ac:dyDescent="0.25">
      <c r="O1" s="19"/>
      <c r="P1" s="19"/>
      <c r="Q1" s="19"/>
      <c r="R1" s="19"/>
      <c r="S1" s="19"/>
      <c r="T1" s="19"/>
      <c r="U1" s="19"/>
      <c r="V1" s="19"/>
      <c r="W1" s="19"/>
    </row>
    <row r="2" spans="1:23" x14ac:dyDescent="0.25">
      <c r="O2" s="19"/>
      <c r="P2" s="19"/>
      <c r="Q2" s="19"/>
      <c r="R2" s="19"/>
      <c r="S2" s="19"/>
      <c r="T2" s="19"/>
      <c r="U2" s="19"/>
      <c r="V2" s="19"/>
      <c r="W2" s="19"/>
    </row>
    <row r="3" spans="1:23" x14ac:dyDescent="0.25">
      <c r="A3" s="20"/>
      <c r="B3" s="20"/>
      <c r="C3" s="21"/>
      <c r="D3" s="21"/>
      <c r="E3" s="21"/>
      <c r="F3" s="21"/>
      <c r="G3" s="21"/>
      <c r="H3" s="21"/>
      <c r="I3" s="20"/>
      <c r="J3" s="20"/>
      <c r="K3" s="20"/>
      <c r="L3" s="20"/>
      <c r="M3" s="20"/>
      <c r="N3" s="20"/>
      <c r="O3" s="19"/>
      <c r="P3" s="19"/>
      <c r="Q3" s="19"/>
      <c r="R3" s="19"/>
      <c r="S3" s="19"/>
      <c r="T3" s="19"/>
      <c r="U3" s="19"/>
      <c r="V3" s="19"/>
      <c r="W3" s="19"/>
    </row>
    <row r="4" spans="1:23" ht="15" customHeight="1" x14ac:dyDescent="0.25">
      <c r="A4" s="20"/>
      <c r="B4" s="55"/>
      <c r="C4" s="52" t="s">
        <v>26</v>
      </c>
      <c r="D4" s="52"/>
      <c r="E4" s="52"/>
      <c r="F4" s="52"/>
      <c r="G4" s="52"/>
      <c r="H4" s="52"/>
      <c r="I4" s="20"/>
      <c r="J4" s="49" t="s">
        <v>47</v>
      </c>
      <c r="K4" s="50"/>
      <c r="L4" s="50"/>
      <c r="M4" s="51"/>
      <c r="N4" s="20"/>
      <c r="O4" s="19"/>
      <c r="P4" s="22"/>
      <c r="Q4" s="22"/>
      <c r="R4" s="22"/>
      <c r="S4" s="22"/>
      <c r="T4" s="19"/>
      <c r="U4" s="19"/>
      <c r="V4" s="19"/>
      <c r="W4" s="19"/>
    </row>
    <row r="5" spans="1:23" ht="15" customHeight="1" x14ac:dyDescent="0.25">
      <c r="A5" s="20"/>
      <c r="B5" s="56"/>
      <c r="C5" s="23"/>
      <c r="D5" s="7" t="s">
        <v>20</v>
      </c>
      <c r="E5" s="7" t="s">
        <v>21</v>
      </c>
      <c r="F5" s="7" t="s">
        <v>41</v>
      </c>
      <c r="G5" s="7" t="s">
        <v>23</v>
      </c>
      <c r="H5" s="7" t="s">
        <v>24</v>
      </c>
      <c r="I5" s="20"/>
      <c r="J5" s="23"/>
      <c r="K5" s="2" t="s">
        <v>0</v>
      </c>
      <c r="L5" s="4" t="s">
        <v>1</v>
      </c>
      <c r="M5" s="5" t="s">
        <v>2</v>
      </c>
      <c r="N5" s="20"/>
      <c r="O5" s="19"/>
      <c r="P5" s="22"/>
      <c r="Q5" s="22"/>
      <c r="R5" s="22"/>
      <c r="S5" s="22"/>
      <c r="T5" s="19"/>
      <c r="U5" s="19"/>
      <c r="V5" s="19"/>
      <c r="W5" s="19"/>
    </row>
    <row r="6" spans="1:23" ht="15" customHeight="1" x14ac:dyDescent="0.25">
      <c r="A6" s="20"/>
      <c r="B6" s="56"/>
      <c r="C6" s="2" t="s">
        <v>0</v>
      </c>
      <c r="D6" s="16">
        <v>0.70002500000000001</v>
      </c>
      <c r="E6" s="16">
        <v>0.29822500000000002</v>
      </c>
      <c r="F6" s="17">
        <v>674</v>
      </c>
      <c r="G6" s="17">
        <v>20</v>
      </c>
      <c r="H6" s="17">
        <v>25</v>
      </c>
      <c r="I6" s="20"/>
      <c r="J6" s="23" t="s">
        <v>98</v>
      </c>
      <c r="K6" s="17">
        <v>3</v>
      </c>
      <c r="L6" s="17">
        <v>9</v>
      </c>
      <c r="M6" s="17" t="s">
        <v>61</v>
      </c>
      <c r="N6" s="20"/>
      <c r="O6" s="19"/>
      <c r="P6" s="22"/>
      <c r="Q6" s="22"/>
      <c r="R6" s="22"/>
      <c r="S6" s="22"/>
      <c r="T6" s="19"/>
      <c r="U6" s="19"/>
      <c r="V6" s="19"/>
      <c r="W6" s="19"/>
    </row>
    <row r="7" spans="1:23" ht="15" customHeight="1" x14ac:dyDescent="0.25">
      <c r="A7" s="20"/>
      <c r="B7" s="56"/>
      <c r="C7" s="4" t="s">
        <v>1</v>
      </c>
      <c r="D7" s="16">
        <v>0.25447500000000001</v>
      </c>
      <c r="E7" s="16">
        <v>0.70845000000000002</v>
      </c>
      <c r="F7" s="17">
        <v>1420</v>
      </c>
      <c r="G7" s="17">
        <v>20</v>
      </c>
      <c r="H7" s="17">
        <v>25</v>
      </c>
      <c r="I7" s="20"/>
      <c r="J7" s="23" t="s">
        <v>22</v>
      </c>
      <c r="K7" s="17" t="s">
        <v>69</v>
      </c>
      <c r="L7" s="17" t="s">
        <v>74</v>
      </c>
      <c r="M7" s="17" t="s">
        <v>46</v>
      </c>
      <c r="N7" s="20"/>
      <c r="O7" s="19"/>
      <c r="P7" s="22"/>
      <c r="Q7" s="22"/>
      <c r="R7" s="22"/>
      <c r="S7" s="22"/>
      <c r="T7" s="19"/>
      <c r="U7" s="19"/>
      <c r="V7" s="19"/>
      <c r="W7" s="19"/>
    </row>
    <row r="8" spans="1:23" ht="15" customHeight="1" x14ac:dyDescent="0.25">
      <c r="A8" s="20"/>
      <c r="B8" s="56"/>
      <c r="C8" s="5" t="s">
        <v>2</v>
      </c>
      <c r="D8" s="16">
        <v>0.13</v>
      </c>
      <c r="E8" s="16">
        <v>7.1175000000000002E-2</v>
      </c>
      <c r="F8" s="17">
        <v>252</v>
      </c>
      <c r="G8" s="17">
        <v>20</v>
      </c>
      <c r="H8" s="17">
        <v>25</v>
      </c>
      <c r="I8" s="20"/>
      <c r="J8" s="20"/>
      <c r="K8" s="20"/>
      <c r="L8" s="20"/>
      <c r="M8" s="20"/>
      <c r="N8" s="20"/>
      <c r="O8" s="19"/>
      <c r="P8" s="19"/>
      <c r="Q8" s="19"/>
      <c r="R8" s="19"/>
      <c r="S8" s="19"/>
      <c r="T8" s="19"/>
      <c r="U8" s="19"/>
      <c r="V8" s="19"/>
      <c r="W8" s="19"/>
    </row>
    <row r="9" spans="1:23" ht="15" customHeight="1" x14ac:dyDescent="0.25">
      <c r="A9" s="20"/>
      <c r="B9" s="56"/>
      <c r="C9" s="49"/>
      <c r="D9" s="50"/>
      <c r="E9" s="50"/>
      <c r="F9" s="50"/>
      <c r="G9" s="53"/>
      <c r="H9" s="54"/>
      <c r="I9" s="20"/>
      <c r="J9" s="20"/>
      <c r="K9" s="20"/>
      <c r="L9" s="20"/>
      <c r="M9" s="20"/>
      <c r="N9" s="20"/>
      <c r="O9" s="19"/>
      <c r="P9" s="19"/>
      <c r="Q9" s="19"/>
      <c r="R9" s="19"/>
      <c r="S9" s="19"/>
      <c r="T9" s="19"/>
      <c r="U9" s="19"/>
      <c r="V9" s="19"/>
      <c r="W9" s="19"/>
    </row>
    <row r="10" spans="1:23" ht="15" customHeight="1" x14ac:dyDescent="0.25">
      <c r="A10" s="20"/>
      <c r="B10" s="56"/>
      <c r="C10" s="66" t="s">
        <v>25</v>
      </c>
      <c r="D10" s="6" t="s">
        <v>20</v>
      </c>
      <c r="E10" s="6" t="s">
        <v>21</v>
      </c>
      <c r="F10" s="6" t="s">
        <v>22</v>
      </c>
      <c r="G10" s="62"/>
      <c r="H10" s="63"/>
      <c r="I10" s="20"/>
      <c r="J10" s="20"/>
      <c r="K10" s="20"/>
      <c r="L10" s="20"/>
      <c r="M10" s="20"/>
      <c r="N10" s="20"/>
      <c r="O10" s="19"/>
      <c r="P10" s="19"/>
      <c r="Q10" s="19"/>
      <c r="R10" s="19"/>
      <c r="S10" s="19"/>
      <c r="T10" s="19"/>
      <c r="U10" s="19"/>
      <c r="V10" s="19"/>
      <c r="W10" s="19"/>
    </row>
    <row r="11" spans="1:23" ht="15" customHeight="1" x14ac:dyDescent="0.25">
      <c r="A11" s="20"/>
      <c r="B11" s="57"/>
      <c r="C11" s="66"/>
      <c r="D11" s="28">
        <v>0.33</v>
      </c>
      <c r="E11" s="28">
        <v>0.33</v>
      </c>
      <c r="F11" s="28">
        <v>2000</v>
      </c>
      <c r="G11" s="64"/>
      <c r="H11" s="65"/>
      <c r="I11" s="20"/>
      <c r="J11" s="20"/>
      <c r="K11" s="20"/>
      <c r="L11" s="20"/>
      <c r="M11" s="20"/>
      <c r="N11" s="20"/>
      <c r="O11" s="19"/>
      <c r="P11" s="19"/>
      <c r="Q11" s="19"/>
      <c r="R11" s="19"/>
      <c r="S11" s="19"/>
      <c r="T11" s="19"/>
      <c r="U11" s="19"/>
      <c r="V11" s="19"/>
      <c r="W11" s="19"/>
    </row>
    <row r="12" spans="1:23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19"/>
      <c r="P12" s="19"/>
      <c r="Q12" s="19"/>
      <c r="R12" s="19"/>
      <c r="S12" s="19"/>
      <c r="T12" s="19"/>
      <c r="U12" s="19"/>
      <c r="V12" s="19"/>
      <c r="W12" s="19"/>
    </row>
    <row r="13" spans="1:23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</row>
    <row r="14" spans="1:23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</row>
    <row r="15" spans="1:23" ht="15" customHeight="1" x14ac:dyDescent="0.25">
      <c r="A15" s="20"/>
      <c r="B15" s="52"/>
      <c r="C15" s="24" t="s">
        <v>25</v>
      </c>
      <c r="D15" s="25" t="s">
        <v>0</v>
      </c>
      <c r="E15" s="26" t="s">
        <v>1</v>
      </c>
      <c r="F15" s="27" t="s">
        <v>2</v>
      </c>
      <c r="G15" s="67" t="str">
        <f>IF(OR(D16&gt;1,E16&gt;1,F16&gt;1),"Duty cycle is larger than 100%,please refer to Maximum Duty cycle for instead","")</f>
        <v/>
      </c>
      <c r="H15" s="68"/>
      <c r="I15" s="68"/>
      <c r="J15" s="20"/>
      <c r="K15" s="20"/>
      <c r="L15" s="20"/>
      <c r="M15" s="20"/>
      <c r="N15" s="20"/>
    </row>
    <row r="16" spans="1:23" x14ac:dyDescent="0.25">
      <c r="A16" s="20"/>
      <c r="B16" s="52"/>
      <c r="C16" s="24" t="s">
        <v>27</v>
      </c>
      <c r="D16" s="45">
        <f>'Calculation flow'!O37</f>
        <v>0.76072327947207852</v>
      </c>
      <c r="E16" s="45">
        <f>'Calculation flow'!P37</f>
        <v>0.92118073656246668</v>
      </c>
      <c r="F16" s="45">
        <f>'Calculation flow'!Q37</f>
        <v>0.71634299234502519</v>
      </c>
      <c r="G16" s="67"/>
      <c r="H16" s="68"/>
      <c r="I16" s="68"/>
      <c r="J16" s="20"/>
      <c r="K16" s="20"/>
      <c r="L16" s="20"/>
      <c r="M16" s="20"/>
      <c r="N16" s="20"/>
    </row>
    <row r="17" spans="1:14" x14ac:dyDescent="0.25">
      <c r="A17" s="20"/>
      <c r="B17" s="52"/>
      <c r="C17" s="24" t="s">
        <v>42</v>
      </c>
      <c r="D17" s="46">
        <f>'Calculation flow'!O38</f>
        <v>512.63033352465038</v>
      </c>
      <c r="E17" s="46">
        <f>'Calculation flow'!P38</f>
        <v>1307.5496732740226</v>
      </c>
      <c r="F17" s="46">
        <f>'Calculation flow'!Q38</f>
        <v>179.81999320132689</v>
      </c>
      <c r="G17" s="67"/>
      <c r="H17" s="68"/>
      <c r="I17" s="68"/>
      <c r="J17" s="20"/>
      <c r="K17" s="20"/>
      <c r="L17" s="20"/>
      <c r="M17" s="20"/>
      <c r="N17" s="20"/>
    </row>
    <row r="18" spans="1:14" x14ac:dyDescent="0.25">
      <c r="A18" s="20"/>
      <c r="B18" s="52"/>
      <c r="C18" s="59"/>
      <c r="D18" s="60"/>
      <c r="E18" s="60"/>
      <c r="F18" s="61"/>
      <c r="G18" s="67"/>
      <c r="H18" s="68"/>
      <c r="I18" s="68"/>
      <c r="J18" s="20"/>
      <c r="K18" s="20"/>
      <c r="L18" s="20"/>
      <c r="M18" s="20"/>
      <c r="N18" s="20"/>
    </row>
    <row r="19" spans="1:14" x14ac:dyDescent="0.25">
      <c r="A19" s="20"/>
      <c r="B19" s="52"/>
      <c r="C19" s="24" t="s">
        <v>28</v>
      </c>
      <c r="D19" s="25" t="s">
        <v>0</v>
      </c>
      <c r="E19" s="26" t="s">
        <v>1</v>
      </c>
      <c r="F19" s="27" t="s">
        <v>2</v>
      </c>
      <c r="G19" s="20"/>
      <c r="H19" s="20"/>
      <c r="I19" s="20"/>
      <c r="J19" s="20"/>
      <c r="K19" s="20"/>
      <c r="L19" s="20"/>
      <c r="M19" s="20"/>
      <c r="N19" s="20"/>
    </row>
    <row r="20" spans="1:14" x14ac:dyDescent="0.25">
      <c r="A20" s="20"/>
      <c r="B20" s="52"/>
      <c r="C20" s="24" t="s">
        <v>27</v>
      </c>
      <c r="D20" s="45">
        <f>'Calculation flow'!U37</f>
        <v>0.82581327341997957</v>
      </c>
      <c r="E20" s="45">
        <f>'Calculation flow'!V37</f>
        <v>1</v>
      </c>
      <c r="F20" s="45">
        <f>'Calculation flow'!W37</f>
        <v>0.7776356624848384</v>
      </c>
      <c r="G20" s="20"/>
      <c r="H20" s="20"/>
      <c r="I20" s="20"/>
      <c r="J20" s="20"/>
      <c r="K20" s="20"/>
      <c r="L20" s="20"/>
      <c r="M20" s="20"/>
      <c r="N20" s="20"/>
    </row>
    <row r="21" spans="1:14" x14ac:dyDescent="0.25">
      <c r="A21" s="20"/>
      <c r="B21" s="52"/>
      <c r="C21" s="24" t="s">
        <v>29</v>
      </c>
      <c r="D21" s="47">
        <f>'Calculation flow'!U38</f>
        <v>556.49267638575736</v>
      </c>
      <c r="E21" s="47">
        <f>'Calculation flow'!V38</f>
        <v>1419.4279378369911</v>
      </c>
      <c r="F21" s="47">
        <f>'Calculation flow'!W38</f>
        <v>195.20598517111199</v>
      </c>
      <c r="G21" s="20"/>
      <c r="H21" s="20"/>
      <c r="I21" s="20"/>
      <c r="J21" s="20"/>
      <c r="K21" s="20"/>
      <c r="L21" s="20"/>
      <c r="M21" s="20"/>
      <c r="N21" s="20"/>
    </row>
    <row r="22" spans="1:14" x14ac:dyDescent="0.25">
      <c r="A22" s="20"/>
      <c r="B22" s="52"/>
      <c r="C22" s="24" t="s">
        <v>30</v>
      </c>
      <c r="D22" s="58">
        <f>'Calculation flow'!U39</f>
        <v>2171.1265993938605</v>
      </c>
      <c r="E22" s="52"/>
      <c r="F22" s="52"/>
      <c r="G22" s="20"/>
      <c r="H22" s="20"/>
      <c r="I22" s="20"/>
      <c r="J22" s="20"/>
      <c r="K22" s="20"/>
      <c r="L22" s="20"/>
      <c r="M22" s="20"/>
      <c r="N22" s="20"/>
    </row>
    <row r="23" spans="1:14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</row>
  </sheetData>
  <sheetProtection algorithmName="SHA-512" hashValue="I/zJGKhB/xFerFol0bl+jpu6YAFTgGmC3MAYn6j99SEAtNsW+fvozlcwUvPlEopjde+smtBCQxUOvLhLZwO61w==" saltValue="0Pj2rSd7r0RfzN5a+dFv4A==" spinCount="100000" sheet="1" objects="1" scenarios="1" selectLockedCells="1"/>
  <dataConsolidate/>
  <mergeCells count="10">
    <mergeCell ref="J4:M4"/>
    <mergeCell ref="C4:H4"/>
    <mergeCell ref="C9:H9"/>
    <mergeCell ref="B4:B11"/>
    <mergeCell ref="D22:F22"/>
    <mergeCell ref="B15:B22"/>
    <mergeCell ref="C18:F18"/>
    <mergeCell ref="G10:H11"/>
    <mergeCell ref="C10:C11"/>
    <mergeCell ref="G15:I18"/>
  </mergeCells>
  <conditionalFormatting sqref="D16">
    <cfRule type="expression" dxfId="2" priority="3">
      <formula>$D$16&gt;1</formula>
    </cfRule>
  </conditionalFormatting>
  <conditionalFormatting sqref="E16">
    <cfRule type="expression" dxfId="1" priority="2">
      <formula>$E$16&gt;1</formula>
    </cfRule>
  </conditionalFormatting>
  <conditionalFormatting sqref="F16">
    <cfRule type="expression" dxfId="0" priority="1">
      <formula>$F$16&gt;1</formula>
    </cfRule>
  </conditionalFormatting>
  <dataValidations xWindow="496" yWindow="563" count="3">
    <dataValidation type="list" allowBlank="1" showInputMessage="1" showErrorMessage="1" sqref="L6">
      <formula1>"2,3,4,5,6,7,8,9"</formula1>
    </dataValidation>
    <dataValidation type="list" allowBlank="1" showInputMessage="1" showErrorMessage="1" sqref="K6">
      <formula1>"2,3,4"</formula1>
    </dataValidation>
    <dataValidation type="list" allowBlank="1" showInputMessage="1" showErrorMessage="1" sqref="M6">
      <formula1>"H,I,J,K,L,M,N,O,P,Q,R"</formula1>
    </dataValidation>
  </dataValidations>
  <pageMargins left="0.7" right="0.7" top="0.75" bottom="0.75" header="0.3" footer="0.3"/>
  <pageSetup paperSize="9" scale="61" orientation="portrait" horizontalDpi="4294967295" verticalDpi="4294967295" r:id="rId1"/>
  <colBreaks count="1" manualBreakCount="1">
    <brk id="14" max="1048575" man="1"/>
  </colBreaks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8</xdr:col>
                <xdr:colOff>600075</xdr:colOff>
                <xdr:row>7</xdr:row>
                <xdr:rowOff>95250</xdr:rowOff>
              </from>
              <to>
                <xdr:col>13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496" yWindow="563" count="3">
        <x14:dataValidation type="list" allowBlank="1" showInputMessage="1" showErrorMessage="1">
          <x14:formula1>
            <xm:f>'Brightness Bin'!$H$2:$H$10</xm:f>
          </x14:formula1>
          <xm:sqref>K7</xm:sqref>
        </x14:dataValidation>
        <x14:dataValidation type="list" allowBlank="1" showInputMessage="1" showErrorMessage="1">
          <x14:formula1>
            <xm:f>'Brightness Bin'!$H$13:$H$17</xm:f>
          </x14:formula1>
          <xm:sqref>L7</xm:sqref>
        </x14:dataValidation>
        <x14:dataValidation type="list" allowBlank="1" showInputMessage="1" showErrorMessage="1">
          <x14:formula1>
            <xm:f>'Brightness Bin'!$H$20:$H$36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56"/>
  <sheetViews>
    <sheetView workbookViewId="0">
      <selection activeCell="G19" sqref="G19"/>
    </sheetView>
  </sheetViews>
  <sheetFormatPr defaultRowHeight="15" x14ac:dyDescent="0.25"/>
  <cols>
    <col min="1" max="1" width="9.140625" style="29"/>
    <col min="2" max="2" width="14.5703125" style="29" customWidth="1"/>
    <col min="3" max="3" width="9.140625" style="29"/>
    <col min="4" max="4" width="12" style="29" bestFit="1" customWidth="1"/>
    <col min="5" max="8" width="9.140625" style="29"/>
    <col min="9" max="9" width="11.7109375" style="29" bestFit="1" customWidth="1"/>
    <col min="10" max="10" width="9.140625" style="29"/>
    <col min="11" max="11" width="15.42578125" style="29" bestFit="1" customWidth="1"/>
    <col min="12" max="12" width="19.42578125" style="29" bestFit="1" customWidth="1"/>
    <col min="13" max="13" width="9.140625" style="29"/>
    <col min="14" max="14" width="15.85546875" style="29" customWidth="1"/>
    <col min="15" max="19" width="9.140625" style="29"/>
    <col min="20" max="20" width="17.140625" style="29" customWidth="1"/>
    <col min="21" max="21" width="10.5703125" style="29" customWidth="1"/>
    <col min="22" max="22" width="10.140625" style="29" bestFit="1" customWidth="1"/>
    <col min="23" max="23" width="9.28515625" style="29" bestFit="1" customWidth="1"/>
    <col min="24" max="16384" width="9.140625" style="29"/>
  </cols>
  <sheetData>
    <row r="1" spans="1:8" x14ac:dyDescent="0.25">
      <c r="A1" s="29" t="s">
        <v>33</v>
      </c>
    </row>
    <row r="2" spans="1:8" x14ac:dyDescent="0.25">
      <c r="B2" s="29" t="s">
        <v>34</v>
      </c>
      <c r="C2" s="29" t="s">
        <v>35</v>
      </c>
    </row>
    <row r="3" spans="1:8" x14ac:dyDescent="0.25">
      <c r="A3" s="30" t="s">
        <v>0</v>
      </c>
      <c r="B3" s="31">
        <f t="array" ref="B3:C3">CIE_CxCy_to_Purity('RGB Mixing'!$D$6,'RGB Mixing'!$E$6)</f>
        <v>0.99404832480953309</v>
      </c>
      <c r="C3" s="31">
        <v>626</v>
      </c>
      <c r="G3" s="31"/>
      <c r="H3" s="31"/>
    </row>
    <row r="4" spans="1:8" x14ac:dyDescent="0.25">
      <c r="A4" s="32" t="s">
        <v>1</v>
      </c>
      <c r="B4" s="31">
        <f t="array" ref="B4:C4">CIE_CxCy_to_Purity('RGB Mixing'!$D$7,'RGB Mixing'!$E$7)</f>
        <v>0.93146694767309679</v>
      </c>
      <c r="C4" s="31">
        <v>543</v>
      </c>
      <c r="G4" s="31"/>
      <c r="H4" s="31"/>
    </row>
    <row r="5" spans="1:8" x14ac:dyDescent="0.25">
      <c r="A5" s="33" t="s">
        <v>2</v>
      </c>
      <c r="B5" s="31">
        <f t="array" ref="B5:C5">CIE_CxCy_to_Purity('RGB Mixing'!$D$8,'RGB Mixing'!$E$8)</f>
        <v>0.96504410291049381</v>
      </c>
      <c r="C5" s="31">
        <v>471</v>
      </c>
      <c r="G5" s="31"/>
      <c r="H5" s="31"/>
    </row>
    <row r="6" spans="1:8" x14ac:dyDescent="0.25">
      <c r="B6" s="31"/>
      <c r="C6" s="31"/>
    </row>
    <row r="7" spans="1:8" x14ac:dyDescent="0.25">
      <c r="B7" s="31"/>
      <c r="C7" s="31"/>
    </row>
    <row r="8" spans="1:8" x14ac:dyDescent="0.25">
      <c r="A8" s="29" t="s">
        <v>31</v>
      </c>
      <c r="B8" s="31"/>
      <c r="C8" s="31"/>
    </row>
    <row r="9" spans="1:8" x14ac:dyDescent="0.25">
      <c r="A9" s="30" t="s">
        <v>0</v>
      </c>
      <c r="B9" s="31">
        <f>'RGB Mixing'!F6*'IF-I'!K14*'TJ-I'!L16</f>
        <v>673.87228359884296</v>
      </c>
      <c r="C9" s="31"/>
    </row>
    <row r="10" spans="1:8" x14ac:dyDescent="0.25">
      <c r="A10" s="32" t="s">
        <v>1</v>
      </c>
      <c r="B10" s="31">
        <f>'RGB Mixing'!F7*'IF-I'!K15*'TJ-I'!L17</f>
        <v>1419.4279378369911</v>
      </c>
      <c r="C10" s="31"/>
    </row>
    <row r="11" spans="1:8" x14ac:dyDescent="0.25">
      <c r="A11" s="33" t="s">
        <v>2</v>
      </c>
      <c r="B11" s="31">
        <f>'RGB Mixing'!F8*'IF-I'!K16*'TJ-I'!L18</f>
        <v>251.02499099302551</v>
      </c>
      <c r="C11" s="31"/>
    </row>
    <row r="12" spans="1:8" x14ac:dyDescent="0.25">
      <c r="B12" s="31"/>
      <c r="C12" s="31"/>
    </row>
    <row r="13" spans="1:8" x14ac:dyDescent="0.25">
      <c r="A13" s="29" t="s">
        <v>32</v>
      </c>
      <c r="B13" s="31"/>
      <c r="C13" s="31"/>
    </row>
    <row r="14" spans="1:8" x14ac:dyDescent="0.25">
      <c r="A14" s="30" t="s">
        <v>0</v>
      </c>
      <c r="B14" s="31">
        <f>C3+'TJ-I'!L22</f>
        <v>626.07472352844889</v>
      </c>
      <c r="C14" s="31"/>
    </row>
    <row r="15" spans="1:8" x14ac:dyDescent="0.25">
      <c r="A15" s="32" t="s">
        <v>1</v>
      </c>
      <c r="B15" s="31">
        <f>C4+'IF-I'!K20+'TJ-I'!L23</f>
        <v>543.02155819491918</v>
      </c>
      <c r="C15" s="31"/>
    </row>
    <row r="16" spans="1:8" x14ac:dyDescent="0.25">
      <c r="A16" s="33" t="s">
        <v>2</v>
      </c>
      <c r="B16" s="31">
        <f>C5+'IF-I'!K21+'TJ-I'!L24</f>
        <v>470.99168147532885</v>
      </c>
      <c r="C16" s="31"/>
    </row>
    <row r="17" spans="1:6" x14ac:dyDescent="0.25">
      <c r="B17" s="31"/>
      <c r="C17" s="31"/>
    </row>
    <row r="18" spans="1:6" x14ac:dyDescent="0.25">
      <c r="A18" s="29" t="s">
        <v>36</v>
      </c>
      <c r="B18" s="31"/>
      <c r="C18" s="31"/>
    </row>
    <row r="19" spans="1:6" x14ac:dyDescent="0.25">
      <c r="B19" s="31" t="s">
        <v>20</v>
      </c>
      <c r="C19" s="31" t="s">
        <v>21</v>
      </c>
    </row>
    <row r="20" spans="1:6" x14ac:dyDescent="0.25">
      <c r="A20" s="30" t="s">
        <v>0</v>
      </c>
      <c r="B20" s="31">
        <f t="array" ref="B20:C20">LdomPurity_to_CxCy(B14,B3)</f>
        <v>0.69999725806265378</v>
      </c>
      <c r="C20" s="31">
        <v>0.29793644400229963</v>
      </c>
      <c r="E20" s="31"/>
      <c r="F20" s="31"/>
    </row>
    <row r="21" spans="1:6" x14ac:dyDescent="0.25">
      <c r="A21" s="32" t="s">
        <v>1</v>
      </c>
      <c r="B21" s="31">
        <f t="array" ref="B21:C21">LdomPurity_to_CxCy(B15,B4)</f>
        <v>0.25698105799316556</v>
      </c>
      <c r="C21" s="31">
        <v>0.70896810328627768</v>
      </c>
      <c r="E21" s="31"/>
      <c r="F21" s="31"/>
    </row>
    <row r="22" spans="1:6" x14ac:dyDescent="0.25">
      <c r="A22" s="33" t="s">
        <v>2</v>
      </c>
      <c r="B22" s="31">
        <f t="array" ref="B22:C22">LdomPurity_to_CxCy(B16,B5)</f>
        <v>0.12887450629071096</v>
      </c>
      <c r="C22" s="31">
        <v>7.2051829539225135E-2</v>
      </c>
      <c r="E22" s="31"/>
      <c r="F22" s="31"/>
    </row>
    <row r="23" spans="1:6" x14ac:dyDescent="0.25">
      <c r="B23" s="31"/>
      <c r="C23" s="31"/>
    </row>
    <row r="24" spans="1:6" x14ac:dyDescent="0.25">
      <c r="A24" s="29" t="s">
        <v>39</v>
      </c>
      <c r="B24" s="31"/>
      <c r="C24" s="31"/>
    </row>
    <row r="25" spans="1:6" x14ac:dyDescent="0.25">
      <c r="A25" s="34"/>
      <c r="B25" s="35" t="s">
        <v>20</v>
      </c>
      <c r="C25" s="35" t="s">
        <v>21</v>
      </c>
      <c r="D25" s="34" t="s">
        <v>22</v>
      </c>
    </row>
    <row r="26" spans="1:6" x14ac:dyDescent="0.25">
      <c r="A26" s="30" t="s">
        <v>0</v>
      </c>
      <c r="B26" s="35">
        <f>B20</f>
        <v>0.69999725806265378</v>
      </c>
      <c r="C26" s="35">
        <f>C20</f>
        <v>0.29793644400229963</v>
      </c>
      <c r="D26" s="34">
        <f>B9</f>
        <v>673.87228359884296</v>
      </c>
    </row>
    <row r="27" spans="1:6" x14ac:dyDescent="0.25">
      <c r="A27" s="32" t="s">
        <v>1</v>
      </c>
      <c r="B27" s="35">
        <f t="shared" ref="B27:C27" si="0">B21</f>
        <v>0.25698105799316556</v>
      </c>
      <c r="C27" s="35">
        <f t="shared" si="0"/>
        <v>0.70896810328627768</v>
      </c>
      <c r="D27" s="34">
        <f t="shared" ref="D27:D28" si="1">B10</f>
        <v>1419.4279378369911</v>
      </c>
    </row>
    <row r="28" spans="1:6" x14ac:dyDescent="0.25">
      <c r="A28" s="33" t="s">
        <v>2</v>
      </c>
      <c r="B28" s="35">
        <f t="shared" ref="B28:C28" si="2">B22</f>
        <v>0.12887450629071096</v>
      </c>
      <c r="C28" s="35">
        <f t="shared" si="2"/>
        <v>7.2051829539225135E-2</v>
      </c>
      <c r="D28" s="34">
        <f t="shared" si="1"/>
        <v>251.02499099302551</v>
      </c>
    </row>
    <row r="29" spans="1:6" x14ac:dyDescent="0.25">
      <c r="B29" s="31"/>
      <c r="C29" s="31"/>
    </row>
    <row r="30" spans="1:6" x14ac:dyDescent="0.25">
      <c r="A30" s="70" t="s">
        <v>25</v>
      </c>
      <c r="B30" s="36" t="s">
        <v>20</v>
      </c>
      <c r="C30" s="36" t="s">
        <v>21</v>
      </c>
      <c r="D30" s="36" t="s">
        <v>22</v>
      </c>
    </row>
    <row r="31" spans="1:6" x14ac:dyDescent="0.25">
      <c r="A31" s="70"/>
      <c r="B31" s="37">
        <f>'RGB Mixing'!D11</f>
        <v>0.33</v>
      </c>
      <c r="C31" s="37">
        <f>'RGB Mixing'!E11</f>
        <v>0.33</v>
      </c>
      <c r="D31" s="37">
        <f>'RGB Mixing'!F11</f>
        <v>2000</v>
      </c>
    </row>
    <row r="32" spans="1:6" x14ac:dyDescent="0.25">
      <c r="B32" s="31"/>
      <c r="C32" s="31"/>
    </row>
    <row r="33" spans="1:23" x14ac:dyDescent="0.25">
      <c r="B33" s="31"/>
      <c r="C33" s="31"/>
    </row>
    <row r="34" spans="1:23" x14ac:dyDescent="0.25">
      <c r="A34" s="29" t="s">
        <v>37</v>
      </c>
      <c r="B34" s="31"/>
      <c r="C34" s="31"/>
    </row>
    <row r="35" spans="1:23" x14ac:dyDescent="0.25">
      <c r="A35" s="69" t="s">
        <v>38</v>
      </c>
      <c r="B35" s="69"/>
      <c r="C35" s="69"/>
      <c r="D35" s="38"/>
      <c r="E35" s="71" t="s">
        <v>94</v>
      </c>
      <c r="F35" s="71"/>
      <c r="G35" s="71"/>
      <c r="I35" s="34" t="s">
        <v>40</v>
      </c>
      <c r="K35" s="39" t="s">
        <v>95</v>
      </c>
      <c r="L35" s="40" t="s">
        <v>96</v>
      </c>
      <c r="N35" s="29" t="s">
        <v>99</v>
      </c>
      <c r="T35" s="29" t="s">
        <v>101</v>
      </c>
    </row>
    <row r="36" spans="1:23" x14ac:dyDescent="0.25">
      <c r="A36" s="34">
        <f>D26*($B$31-B26)/C26</f>
        <v>-836.85934445155169</v>
      </c>
      <c r="B36" s="34">
        <f>D27*($B$31-B27)/C27</f>
        <v>146.19152229186889</v>
      </c>
      <c r="C36" s="34">
        <f>D28*($B$31-B28)/C28</f>
        <v>700.71121815659944</v>
      </c>
      <c r="E36" s="34">
        <f t="array" ref="E36:G38">MINVERSE(A36:C38)</f>
        <v>-8.4104046385653124E-4</v>
      </c>
      <c r="F36" s="34">
        <v>5.4952483764434475E-4</v>
      </c>
      <c r="G36" s="34">
        <v>3.8036163973603928E-4</v>
      </c>
      <c r="I36" s="35">
        <v>0</v>
      </c>
      <c r="K36" s="42">
        <f t="array" ref="K36:K38">MMULT(E36:G38,I36:I38)</f>
        <v>0.76072327947207852</v>
      </c>
      <c r="O36" s="30" t="s">
        <v>0</v>
      </c>
      <c r="P36" s="32" t="s">
        <v>1</v>
      </c>
      <c r="Q36" s="33" t="s">
        <v>2</v>
      </c>
      <c r="U36" s="30" t="s">
        <v>0</v>
      </c>
      <c r="V36" s="32" t="s">
        <v>1</v>
      </c>
      <c r="W36" s="33" t="s">
        <v>2</v>
      </c>
    </row>
    <row r="37" spans="1:23" x14ac:dyDescent="0.25">
      <c r="A37" s="34">
        <f>D26*(C31-C26)/C26</f>
        <v>72.521311626794358</v>
      </c>
      <c r="B37" s="34">
        <f>D27*(C31-C27)/C27</f>
        <v>-758.73358880354101</v>
      </c>
      <c r="C37" s="34">
        <f>D28*(C31-C28)/C28</f>
        <v>898.67859817955957</v>
      </c>
      <c r="E37" s="34">
        <v>3.3696788203594485E-4</v>
      </c>
      <c r="F37" s="34">
        <v>-3.9139339566207041E-4</v>
      </c>
      <c r="G37" s="34">
        <v>4.6059036828123334E-4</v>
      </c>
      <c r="I37" s="35">
        <v>0</v>
      </c>
      <c r="K37" s="42">
        <v>0.92118073656246668</v>
      </c>
      <c r="N37" s="29" t="s">
        <v>100</v>
      </c>
      <c r="O37" s="43">
        <f>K36</f>
        <v>0.76072327947207852</v>
      </c>
      <c r="P37" s="43">
        <f>K37</f>
        <v>0.92118073656246668</v>
      </c>
      <c r="Q37" s="43">
        <f>K38</f>
        <v>0.71634299234502519</v>
      </c>
      <c r="T37" s="29" t="s">
        <v>100</v>
      </c>
      <c r="U37" s="43">
        <f>O37/MAX($O$37:$Q$37)</f>
        <v>0.82581327341997957</v>
      </c>
      <c r="V37" s="43">
        <f t="shared" ref="V37" si="3">P37/MAX($O$37:$Q$37)</f>
        <v>1</v>
      </c>
      <c r="W37" s="43">
        <f>Q37/MAX($O$37:$Q$37)</f>
        <v>0.7776356624848384</v>
      </c>
    </row>
    <row r="38" spans="1:23" x14ac:dyDescent="0.25">
      <c r="A38" s="34">
        <f>D26</f>
        <v>673.87228359884296</v>
      </c>
      <c r="B38" s="35">
        <f>D27</f>
        <v>1419.4279378369911</v>
      </c>
      <c r="C38" s="35">
        <f>D28</f>
        <v>251.02499099302551</v>
      </c>
      <c r="E38" s="34">
        <v>3.5236424752987553E-4</v>
      </c>
      <c r="F38" s="34">
        <v>7.3795506382509516E-4</v>
      </c>
      <c r="G38" s="34">
        <v>3.5817149617251259E-4</v>
      </c>
      <c r="I38" s="35">
        <f>D31</f>
        <v>2000</v>
      </c>
      <c r="K38" s="42">
        <v>0.71634299234502519</v>
      </c>
      <c r="N38" s="29" t="s">
        <v>29</v>
      </c>
      <c r="O38" s="44">
        <f>K36*D26</f>
        <v>512.63033352465038</v>
      </c>
      <c r="P38" s="44">
        <f>K37*D27</f>
        <v>1307.5496732740226</v>
      </c>
      <c r="Q38" s="44">
        <f>K38*D28</f>
        <v>179.81999320132689</v>
      </c>
      <c r="T38" s="29" t="s">
        <v>29</v>
      </c>
      <c r="U38" s="44">
        <f>U37*D26</f>
        <v>556.49267638575736</v>
      </c>
      <c r="V38" s="44">
        <f>V37*D27</f>
        <v>1419.4279378369911</v>
      </c>
      <c r="W38" s="44">
        <f>W37*D28</f>
        <v>195.20598517111199</v>
      </c>
    </row>
    <row r="39" spans="1:23" x14ac:dyDescent="0.25">
      <c r="B39" s="31"/>
      <c r="C39" s="31"/>
      <c r="T39" s="29" t="s">
        <v>30</v>
      </c>
      <c r="U39" s="44">
        <f>SUM(U38:W38)</f>
        <v>2171.1265993938605</v>
      </c>
      <c r="V39" s="44"/>
      <c r="W39" s="44"/>
    </row>
    <row r="52" spans="1:4" x14ac:dyDescent="0.25">
      <c r="A52" s="29" t="s">
        <v>97</v>
      </c>
    </row>
    <row r="53" spans="1:4" x14ac:dyDescent="0.25">
      <c r="A53" s="41"/>
      <c r="B53" s="41" t="s">
        <v>20</v>
      </c>
      <c r="C53" s="41" t="s">
        <v>21</v>
      </c>
      <c r="D53" s="41" t="s">
        <v>22</v>
      </c>
    </row>
    <row r="54" spans="1:4" x14ac:dyDescent="0.25">
      <c r="A54" s="41" t="s">
        <v>0</v>
      </c>
      <c r="B54" s="41">
        <f>VLOOKUP('RGB Mixing'!$K$6,'Color Bin'!$H$2:$J$10,2,FALSE)</f>
        <v>0.70002500000000001</v>
      </c>
      <c r="C54" s="41">
        <f>VLOOKUP('RGB Mixing'!$K$6,'Color Bin'!$H$2:$J$10,3,FALSE)</f>
        <v>0.29822500000000002</v>
      </c>
      <c r="D54" s="41">
        <f>VLOOKUP('RGB Mixing'!$K$7,'Brightness Bin'!$H$2:$I$10,2,FALSE)</f>
        <v>674</v>
      </c>
    </row>
    <row r="55" spans="1:4" x14ac:dyDescent="0.25">
      <c r="A55" s="41" t="s">
        <v>19</v>
      </c>
      <c r="B55" s="41">
        <f>VLOOKUP('RGB Mixing'!$L$6,'Color Bin'!$H$16:$J$44,2, FALSE)</f>
        <v>0.25447500000000001</v>
      </c>
      <c r="C55" s="41">
        <f>VLOOKUP('RGB Mixing'!$L$6,'Color Bin'!$H$16:$J$44,3, FALSE)</f>
        <v>0.70845000000000002</v>
      </c>
      <c r="D55" s="41">
        <f>VLOOKUP('RGB Mixing'!$L$7,'Brightness Bin'!$H$13:$I$17,2,FALSE)</f>
        <v>1420</v>
      </c>
    </row>
    <row r="56" spans="1:4" x14ac:dyDescent="0.25">
      <c r="A56" s="41" t="s">
        <v>2</v>
      </c>
      <c r="B56" s="41">
        <f>VLOOKUP('RGB Mixing'!$M$6,'Color Bin'!$H$50:$J$90, 2, FALSE)</f>
        <v>0.13</v>
      </c>
      <c r="C56" s="41">
        <f>VLOOKUP('RGB Mixing'!$M$6,'Color Bin'!$H$50:$J$90, 3, FALSE)</f>
        <v>7.1175000000000002E-2</v>
      </c>
      <c r="D56" s="41">
        <f>VLOOKUP('RGB Mixing'!$M$7,'Brightness Bin'!$H$20:$I$36,2,FALSE )</f>
        <v>252</v>
      </c>
    </row>
  </sheetData>
  <sheetProtection selectLockedCells="1" selectUnlockedCells="1"/>
  <mergeCells count="3">
    <mergeCell ref="A35:C35"/>
    <mergeCell ref="A30:A31"/>
    <mergeCell ref="E35:G3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7</xdr:col>
                <xdr:colOff>542925</xdr:colOff>
                <xdr:row>49</xdr:row>
                <xdr:rowOff>161925</xdr:rowOff>
              </to>
            </anchor>
          </objectPr>
        </oleObject>
      </mc:Choice>
      <mc:Fallback>
        <oleObject progId="Equation.3" shapeId="40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3"/>
  <sheetViews>
    <sheetView workbookViewId="0">
      <selection activeCell="G20" sqref="G20"/>
    </sheetView>
  </sheetViews>
  <sheetFormatPr defaultRowHeight="15" x14ac:dyDescent="0.25"/>
  <cols>
    <col min="1" max="5" width="9.140625" style="3"/>
    <col min="6" max="6" width="18.5703125" style="3" bestFit="1" customWidth="1"/>
    <col min="7" max="7" width="18.85546875" style="3" customWidth="1"/>
    <col min="8" max="16384" width="9.140625" style="3"/>
  </cols>
  <sheetData>
    <row r="1" spans="1:10" x14ac:dyDescent="0.25">
      <c r="A1" s="8" t="s">
        <v>48</v>
      </c>
      <c r="B1" s="9" t="s">
        <v>49</v>
      </c>
      <c r="C1" s="9" t="s">
        <v>20</v>
      </c>
      <c r="D1" s="9" t="s">
        <v>21</v>
      </c>
      <c r="F1" s="3" t="s">
        <v>50</v>
      </c>
      <c r="G1" s="8" t="s">
        <v>48</v>
      </c>
      <c r="H1" s="3" t="s">
        <v>49</v>
      </c>
      <c r="I1" s="3" t="s">
        <v>20</v>
      </c>
      <c r="J1" s="3" t="s">
        <v>21</v>
      </c>
    </row>
    <row r="2" spans="1:10" x14ac:dyDescent="0.25">
      <c r="B2" s="8">
        <v>2</v>
      </c>
      <c r="C2" s="3">
        <v>0.68799999999999994</v>
      </c>
      <c r="D2" s="3">
        <v>0.3085</v>
      </c>
      <c r="H2" s="8">
        <v>2</v>
      </c>
      <c r="I2" s="3">
        <f>SUM(C2:C5)/4</f>
        <v>0.69424999999999992</v>
      </c>
      <c r="J2" s="3">
        <f>SUM(D2:D5)/4</f>
        <v>0.30395</v>
      </c>
    </row>
    <row r="3" spans="1:10" x14ac:dyDescent="0.25">
      <c r="C3" s="3">
        <v>0.6915</v>
      </c>
      <c r="D3" s="3">
        <v>0.30830000000000002</v>
      </c>
    </row>
    <row r="4" spans="1:10" x14ac:dyDescent="0.25">
      <c r="C4" s="3">
        <v>0.7006</v>
      </c>
      <c r="D4" s="3">
        <v>0.29930000000000001</v>
      </c>
    </row>
    <row r="5" spans="1:10" x14ac:dyDescent="0.25">
      <c r="C5" s="3">
        <v>0.69689999999999996</v>
      </c>
      <c r="D5" s="3">
        <v>0.29970000000000002</v>
      </c>
    </row>
    <row r="6" spans="1:10" x14ac:dyDescent="0.25">
      <c r="B6" s="8">
        <v>3</v>
      </c>
      <c r="C6" s="3">
        <v>0.69359999999999999</v>
      </c>
      <c r="D6" s="3">
        <v>0.30299999999999999</v>
      </c>
      <c r="H6" s="8">
        <v>3</v>
      </c>
      <c r="I6" s="3">
        <f>SUM(C6:C9)/4</f>
        <v>0.70002500000000001</v>
      </c>
      <c r="J6" s="3">
        <f>SUM(D6:D9)/4</f>
        <v>0.29822500000000002</v>
      </c>
    </row>
    <row r="7" spans="1:10" x14ac:dyDescent="0.25">
      <c r="C7" s="3">
        <v>0.69720000000000004</v>
      </c>
      <c r="D7" s="3">
        <v>0.30270000000000002</v>
      </c>
    </row>
    <row r="8" spans="1:10" x14ac:dyDescent="0.25">
      <c r="C8" s="3">
        <v>0.70650000000000002</v>
      </c>
      <c r="D8" s="3">
        <v>0.29339999999999999</v>
      </c>
    </row>
    <row r="9" spans="1:10" x14ac:dyDescent="0.25">
      <c r="C9" s="3">
        <v>0.70279999999999998</v>
      </c>
      <c r="D9" s="3">
        <v>0.29380000000000001</v>
      </c>
    </row>
    <row r="10" spans="1:10" x14ac:dyDescent="0.25">
      <c r="B10" s="8">
        <v>4</v>
      </c>
      <c r="C10" s="3">
        <v>0.7</v>
      </c>
      <c r="D10" s="3">
        <v>0.29659999999999997</v>
      </c>
      <c r="H10" s="8">
        <v>4</v>
      </c>
      <c r="I10" s="3">
        <f>SUM(C10:C13)/4</f>
        <v>0.70522499999999999</v>
      </c>
      <c r="J10" s="3">
        <f>SUM(D10:D13)/4</f>
        <v>0.29304999999999998</v>
      </c>
    </row>
    <row r="11" spans="1:10" x14ac:dyDescent="0.25">
      <c r="C11" s="3">
        <v>0.70369999999999999</v>
      </c>
      <c r="D11" s="3">
        <v>0.29620000000000002</v>
      </c>
    </row>
    <row r="12" spans="1:10" x14ac:dyDescent="0.25">
      <c r="C12" s="3">
        <v>0.71040000000000003</v>
      </c>
      <c r="D12" s="3">
        <v>0.28949999999999998</v>
      </c>
    </row>
    <row r="13" spans="1:10" x14ac:dyDescent="0.25">
      <c r="C13" s="3">
        <v>0.70679999999999998</v>
      </c>
      <c r="D13" s="3">
        <v>0.28989999999999999</v>
      </c>
    </row>
    <row r="15" spans="1:10" x14ac:dyDescent="0.25">
      <c r="A15" s="10" t="s">
        <v>51</v>
      </c>
      <c r="B15" s="9" t="s">
        <v>49</v>
      </c>
      <c r="C15" s="9" t="s">
        <v>20</v>
      </c>
      <c r="D15" s="9" t="s">
        <v>21</v>
      </c>
      <c r="F15" s="3" t="s">
        <v>50</v>
      </c>
      <c r="G15" s="10" t="s">
        <v>51</v>
      </c>
      <c r="H15" s="3" t="s">
        <v>49</v>
      </c>
      <c r="I15" s="3" t="s">
        <v>20</v>
      </c>
      <c r="J15" s="3" t="s">
        <v>21</v>
      </c>
    </row>
    <row r="16" spans="1:10" x14ac:dyDescent="0.25">
      <c r="B16" s="10">
        <v>2</v>
      </c>
      <c r="C16" s="3">
        <v>0.1507</v>
      </c>
      <c r="D16" s="3">
        <v>0.67510000000000003</v>
      </c>
      <c r="H16" s="10">
        <v>2</v>
      </c>
      <c r="I16" s="3">
        <f>SUM(C16:C19)/4</f>
        <v>0.14402499999999999</v>
      </c>
      <c r="J16" s="3">
        <f>SUM(D16:D19)/4</f>
        <v>0.71267499999999995</v>
      </c>
    </row>
    <row r="17" spans="2:10" x14ac:dyDescent="0.25">
      <c r="C17" s="3">
        <v>0.1201</v>
      </c>
      <c r="D17" s="3">
        <v>0.73250000000000004</v>
      </c>
    </row>
    <row r="18" spans="2:10" x14ac:dyDescent="0.25">
      <c r="C18" s="3">
        <v>0.13919999999999999</v>
      </c>
      <c r="D18" s="3">
        <v>0.75039999999999996</v>
      </c>
    </row>
    <row r="19" spans="2:10" x14ac:dyDescent="0.25">
      <c r="C19" s="3">
        <v>0.1661</v>
      </c>
      <c r="D19" s="3">
        <v>0.69269999999999998</v>
      </c>
    </row>
    <row r="20" spans="2:10" x14ac:dyDescent="0.25">
      <c r="B20" s="10">
        <v>3</v>
      </c>
      <c r="C20" s="3">
        <v>0.15920000000000001</v>
      </c>
      <c r="D20" s="3">
        <v>0.68559999999999999</v>
      </c>
      <c r="H20" s="10">
        <v>3</v>
      </c>
      <c r="I20" s="3">
        <f>SUM(C20:C23)/4</f>
        <v>0.15392500000000001</v>
      </c>
      <c r="J20" s="3">
        <f>SUM(D20:D23)/4</f>
        <v>0.72145000000000004</v>
      </c>
    </row>
    <row r="21" spans="2:10" x14ac:dyDescent="0.25">
      <c r="C21" s="3">
        <v>0.1295</v>
      </c>
      <c r="D21" s="3">
        <v>0.74560000000000004</v>
      </c>
    </row>
    <row r="22" spans="2:10" x14ac:dyDescent="0.25">
      <c r="C22" s="3">
        <v>0.1517</v>
      </c>
      <c r="D22" s="3">
        <v>0.75470000000000004</v>
      </c>
    </row>
    <row r="23" spans="2:10" x14ac:dyDescent="0.25">
      <c r="C23" s="3">
        <v>0.17530000000000001</v>
      </c>
      <c r="D23" s="3">
        <v>0.69989999999999997</v>
      </c>
    </row>
    <row r="24" spans="2:10" x14ac:dyDescent="0.25">
      <c r="B24" s="10">
        <v>4</v>
      </c>
      <c r="C24" s="3">
        <v>0.1681</v>
      </c>
      <c r="D24" s="3">
        <v>0.69379999999999997</v>
      </c>
      <c r="H24" s="10">
        <v>4</v>
      </c>
      <c r="I24" s="3">
        <f>SUM(C24:C27)/4</f>
        <v>0.16505</v>
      </c>
      <c r="J24" s="3">
        <f>SUM(D24:D27)/4</f>
        <v>0.72670000000000001</v>
      </c>
    </row>
    <row r="25" spans="2:10" x14ac:dyDescent="0.25">
      <c r="C25" s="3">
        <v>0.14149999999999999</v>
      </c>
      <c r="D25" s="3">
        <v>0.75180000000000002</v>
      </c>
    </row>
    <row r="26" spans="2:10" x14ac:dyDescent="0.25">
      <c r="C26" s="3">
        <v>0.16520000000000001</v>
      </c>
      <c r="D26" s="3">
        <v>0.75600000000000001</v>
      </c>
    </row>
    <row r="27" spans="2:10" x14ac:dyDescent="0.25">
      <c r="C27" s="3">
        <v>0.18540000000000001</v>
      </c>
      <c r="D27" s="3">
        <v>0.70520000000000005</v>
      </c>
    </row>
    <row r="28" spans="2:10" x14ac:dyDescent="0.25">
      <c r="B28" s="10">
        <v>5</v>
      </c>
      <c r="C28" s="3">
        <v>0.17730000000000001</v>
      </c>
      <c r="D28" s="3">
        <v>0.70089999999999997</v>
      </c>
      <c r="H28" s="10">
        <v>5</v>
      </c>
      <c r="I28" s="3">
        <f>SUM(C28:C31)/4</f>
        <v>0.17680000000000001</v>
      </c>
      <c r="J28" s="3">
        <f>SUM(D28:D31)/4</f>
        <v>0.73</v>
      </c>
    </row>
    <row r="29" spans="2:10" x14ac:dyDescent="0.25">
      <c r="C29" s="3">
        <v>0.15429999999999999</v>
      </c>
      <c r="D29" s="3">
        <v>0.75509999999999999</v>
      </c>
    </row>
    <row r="30" spans="2:10" x14ac:dyDescent="0.25">
      <c r="C30" s="3">
        <v>0.17949999999999999</v>
      </c>
      <c r="D30" s="3">
        <v>0.75490000000000002</v>
      </c>
    </row>
    <row r="31" spans="2:10" x14ac:dyDescent="0.25">
      <c r="C31" s="3">
        <v>0.1961</v>
      </c>
      <c r="D31" s="3">
        <v>0.70909999999999995</v>
      </c>
    </row>
    <row r="32" spans="2:10" x14ac:dyDescent="0.25">
      <c r="B32" s="10">
        <v>6</v>
      </c>
      <c r="C32" s="3">
        <v>0.1875</v>
      </c>
      <c r="D32" s="3">
        <v>0.70640000000000003</v>
      </c>
      <c r="H32" s="10">
        <v>6</v>
      </c>
      <c r="I32" s="3">
        <f>SUM(C32:C35)/4</f>
        <v>0.18939999999999999</v>
      </c>
      <c r="J32" s="3">
        <f>SUM(D32:D35)/4</f>
        <v>0.73092500000000005</v>
      </c>
    </row>
    <row r="33" spans="2:10" x14ac:dyDescent="0.25">
      <c r="C33" s="3">
        <v>0.1678</v>
      </c>
      <c r="D33" s="3">
        <v>0.75649999999999995</v>
      </c>
    </row>
    <row r="34" spans="2:10" x14ac:dyDescent="0.25">
      <c r="C34" s="3">
        <v>0.19439999999999999</v>
      </c>
      <c r="D34" s="3">
        <v>0.75090000000000001</v>
      </c>
    </row>
    <row r="35" spans="2:10" x14ac:dyDescent="0.25">
      <c r="C35" s="3">
        <v>0.2079</v>
      </c>
      <c r="D35" s="3">
        <v>0.70989999999999998</v>
      </c>
    </row>
    <row r="36" spans="2:10" x14ac:dyDescent="0.25">
      <c r="B36" s="10">
        <v>7</v>
      </c>
      <c r="C36" s="3">
        <v>0.1983</v>
      </c>
      <c r="D36" s="3">
        <v>0.70960000000000001</v>
      </c>
      <c r="H36" s="10">
        <v>7</v>
      </c>
      <c r="I36" s="3">
        <f>SUM(C36:C39)/4</f>
        <v>0.20269999999999999</v>
      </c>
      <c r="J36" s="3">
        <f>SUM(D36:D39)/4</f>
        <v>0.72964999999999991</v>
      </c>
    </row>
    <row r="37" spans="2:10" x14ac:dyDescent="0.25">
      <c r="C37" s="3">
        <v>0.18240000000000001</v>
      </c>
      <c r="D37" s="3">
        <v>0.75419999999999998</v>
      </c>
    </row>
    <row r="38" spans="2:10" x14ac:dyDescent="0.25">
      <c r="C38" s="3">
        <v>0.20979999999999999</v>
      </c>
      <c r="D38" s="3">
        <v>0.74490000000000001</v>
      </c>
    </row>
    <row r="39" spans="2:10" x14ac:dyDescent="0.25">
      <c r="C39" s="3">
        <v>0.2203</v>
      </c>
      <c r="D39" s="3">
        <v>0.70989999999999998</v>
      </c>
    </row>
    <row r="40" spans="2:10" x14ac:dyDescent="0.25">
      <c r="B40" s="10">
        <v>8</v>
      </c>
      <c r="C40" s="3">
        <v>0.21029999999999999</v>
      </c>
      <c r="D40" s="3">
        <v>0.71050000000000002</v>
      </c>
      <c r="H40" s="10">
        <v>8</v>
      </c>
      <c r="I40" s="3">
        <f>SUM(C40:C43)/4</f>
        <v>0.22425</v>
      </c>
      <c r="J40" s="3">
        <f>SUM(D40:D43)/4</f>
        <v>0.72267500000000007</v>
      </c>
    </row>
    <row r="41" spans="2:10" x14ac:dyDescent="0.25">
      <c r="C41" s="3">
        <v>0.19739999999999999</v>
      </c>
      <c r="D41" s="3">
        <v>0.75</v>
      </c>
    </row>
    <row r="42" spans="2:10" x14ac:dyDescent="0.25">
      <c r="C42" s="3">
        <v>0.2419</v>
      </c>
      <c r="D42" s="3">
        <v>0.72729999999999995</v>
      </c>
    </row>
    <row r="43" spans="2:10" x14ac:dyDescent="0.25">
      <c r="C43" s="3">
        <v>0.24740000000000001</v>
      </c>
      <c r="D43" s="3">
        <v>0.70289999999999997</v>
      </c>
    </row>
    <row r="44" spans="2:10" x14ac:dyDescent="0.25">
      <c r="B44" s="10">
        <v>9</v>
      </c>
      <c r="C44" s="3">
        <v>0.23630000000000001</v>
      </c>
      <c r="D44" s="3">
        <v>0.70630000000000004</v>
      </c>
      <c r="H44" s="10">
        <v>9</v>
      </c>
      <c r="I44" s="3">
        <f>SUM(C44:C47)/4</f>
        <v>0.25447500000000001</v>
      </c>
      <c r="J44" s="3">
        <f>SUM(D44:D47)/4</f>
        <v>0.70845000000000002</v>
      </c>
    </row>
    <row r="45" spans="2:10" x14ac:dyDescent="0.25">
      <c r="C45" s="3">
        <v>0.2288</v>
      </c>
      <c r="D45" s="3">
        <v>0.73529999999999995</v>
      </c>
    </row>
    <row r="46" spans="2:10" x14ac:dyDescent="0.25">
      <c r="C46" s="3">
        <v>0.27510000000000001</v>
      </c>
      <c r="D46" s="3">
        <v>0.70420000000000005</v>
      </c>
    </row>
    <row r="47" spans="2:10" x14ac:dyDescent="0.25">
      <c r="C47" s="3">
        <v>0.2777</v>
      </c>
      <c r="D47" s="3">
        <v>0.68799999999999994</v>
      </c>
    </row>
    <row r="49" spans="1:10" x14ac:dyDescent="0.25">
      <c r="A49" s="11" t="s">
        <v>52</v>
      </c>
      <c r="B49" s="9" t="s">
        <v>49</v>
      </c>
      <c r="C49" s="9" t="s">
        <v>20</v>
      </c>
      <c r="D49" s="9" t="s">
        <v>21</v>
      </c>
      <c r="F49" s="3" t="s">
        <v>50</v>
      </c>
      <c r="G49" s="11" t="s">
        <v>52</v>
      </c>
      <c r="H49" s="3" t="s">
        <v>49</v>
      </c>
      <c r="I49" s="3" t="s">
        <v>20</v>
      </c>
      <c r="J49" s="3" t="s">
        <v>21</v>
      </c>
    </row>
    <row r="50" spans="1:10" x14ac:dyDescent="0.25">
      <c r="B50" s="11" t="s">
        <v>53</v>
      </c>
      <c r="C50" s="3">
        <v>0.16220000000000001</v>
      </c>
      <c r="D50" s="3">
        <v>2.0299999999999999E-2</v>
      </c>
      <c r="H50" s="11" t="s">
        <v>53</v>
      </c>
      <c r="I50" s="3">
        <f>SUM(C50:C53)/4</f>
        <v>0.15902499999999997</v>
      </c>
      <c r="J50" s="3">
        <f>SUM(D50:D53)/4</f>
        <v>1.9599999999999999E-2</v>
      </c>
    </row>
    <row r="51" spans="1:10" x14ac:dyDescent="0.25">
      <c r="C51" s="3">
        <v>0.1595</v>
      </c>
      <c r="D51" s="3">
        <v>1.52E-2</v>
      </c>
    </row>
    <row r="52" spans="1:10" x14ac:dyDescent="0.25">
      <c r="C52" s="3">
        <v>0.15559999999999999</v>
      </c>
      <c r="D52" s="3">
        <v>1.8599999999999998E-2</v>
      </c>
    </row>
    <row r="53" spans="1:10" x14ac:dyDescent="0.25">
      <c r="C53" s="3">
        <v>0.1588</v>
      </c>
      <c r="D53" s="3">
        <v>2.4299999999999999E-2</v>
      </c>
    </row>
    <row r="54" spans="1:10" x14ac:dyDescent="0.25">
      <c r="B54" s="11" t="s">
        <v>54</v>
      </c>
      <c r="C54" s="3">
        <v>0.16059999999999999</v>
      </c>
      <c r="D54" s="3">
        <v>2.2200000000000001E-2</v>
      </c>
      <c r="H54" s="11" t="s">
        <v>54</v>
      </c>
      <c r="I54" s="3">
        <f>SUM(C54:C57)/4</f>
        <v>0.15715000000000001</v>
      </c>
      <c r="J54" s="3">
        <f>SUM(D54:D57)/4</f>
        <v>2.1600000000000001E-2</v>
      </c>
    </row>
    <row r="55" spans="1:10" x14ac:dyDescent="0.25">
      <c r="C55" s="3">
        <v>0.15759999999999999</v>
      </c>
      <c r="D55" s="3">
        <v>1.6799999999999999E-2</v>
      </c>
    </row>
    <row r="56" spans="1:10" x14ac:dyDescent="0.25">
      <c r="C56" s="3">
        <v>0.15340000000000001</v>
      </c>
      <c r="D56" s="3">
        <v>2.06E-2</v>
      </c>
    </row>
    <row r="57" spans="1:10" x14ac:dyDescent="0.25">
      <c r="C57" s="3">
        <v>0.157</v>
      </c>
      <c r="D57" s="3">
        <v>2.6800000000000001E-2</v>
      </c>
    </row>
    <row r="58" spans="1:10" x14ac:dyDescent="0.25">
      <c r="B58" s="11" t="s">
        <v>45</v>
      </c>
      <c r="C58" s="3">
        <v>0.1588</v>
      </c>
      <c r="D58" s="3">
        <v>2.4299999999999999E-2</v>
      </c>
      <c r="H58" s="11" t="s">
        <v>45</v>
      </c>
      <c r="I58" s="3">
        <f>SUM(C58:C61)/4</f>
        <v>0.15467500000000001</v>
      </c>
      <c r="J58" s="3">
        <f>SUM(D58:D61)/4</f>
        <v>2.4799999999999996E-2</v>
      </c>
    </row>
    <row r="59" spans="1:10" x14ac:dyDescent="0.25">
      <c r="C59" s="3">
        <v>0.15559999999999999</v>
      </c>
      <c r="D59" s="3">
        <v>1.8599999999999998E-2</v>
      </c>
    </row>
    <row r="60" spans="1:10" x14ac:dyDescent="0.25">
      <c r="C60" s="3">
        <v>0.15</v>
      </c>
      <c r="D60" s="3">
        <v>2.46E-2</v>
      </c>
    </row>
    <row r="61" spans="1:10" x14ac:dyDescent="0.25">
      <c r="C61" s="3">
        <v>0.15429999999999999</v>
      </c>
      <c r="D61" s="3">
        <v>3.1699999999999999E-2</v>
      </c>
    </row>
    <row r="62" spans="1:10" x14ac:dyDescent="0.25">
      <c r="B62" s="11" t="s">
        <v>55</v>
      </c>
      <c r="C62" s="3">
        <v>0.15620000000000001</v>
      </c>
      <c r="D62" s="3">
        <v>2.8500000000000001E-2</v>
      </c>
      <c r="H62" s="11" t="s">
        <v>55</v>
      </c>
      <c r="I62" s="3">
        <f>SUM(C62:C65)/4</f>
        <v>0.151425</v>
      </c>
      <c r="J62" s="3">
        <f>SUM(D62:D65)/4</f>
        <v>2.9175E-2</v>
      </c>
    </row>
    <row r="63" spans="1:10" x14ac:dyDescent="0.25">
      <c r="C63" s="3">
        <v>0.15240000000000001</v>
      </c>
      <c r="D63" s="3">
        <v>2.1899999999999999E-2</v>
      </c>
    </row>
    <row r="64" spans="1:10" x14ac:dyDescent="0.25">
      <c r="C64" s="3">
        <v>0.1462</v>
      </c>
      <c r="D64" s="3">
        <v>2.93E-2</v>
      </c>
    </row>
    <row r="65" spans="2:10" x14ac:dyDescent="0.25">
      <c r="C65" s="3">
        <v>0.15090000000000001</v>
      </c>
      <c r="D65" s="3">
        <v>3.6999999999999998E-2</v>
      </c>
    </row>
    <row r="66" spans="2:10" x14ac:dyDescent="0.25">
      <c r="B66" s="11" t="s">
        <v>56</v>
      </c>
      <c r="C66" s="3">
        <v>0.1532</v>
      </c>
      <c r="D66" s="3">
        <v>3.32E-2</v>
      </c>
      <c r="H66" s="11" t="s">
        <v>56</v>
      </c>
      <c r="I66" s="3">
        <f>SUM(C66:C69)/4</f>
        <v>0.14860000000000001</v>
      </c>
      <c r="J66" s="3">
        <f>SUM(D66:D69)/4</f>
        <v>3.3500000000000002E-2</v>
      </c>
    </row>
    <row r="67" spans="2:10" x14ac:dyDescent="0.25">
      <c r="C67" s="3">
        <v>0.1489</v>
      </c>
      <c r="D67" s="3">
        <v>2.6200000000000001E-2</v>
      </c>
    </row>
    <row r="68" spans="2:10" x14ac:dyDescent="0.25">
      <c r="C68" s="3">
        <v>0.14360000000000001</v>
      </c>
      <c r="D68" s="3">
        <v>3.32E-2</v>
      </c>
    </row>
    <row r="69" spans="2:10" x14ac:dyDescent="0.25">
      <c r="C69" s="3">
        <v>0.1487</v>
      </c>
      <c r="D69" s="3">
        <v>4.1399999999999999E-2</v>
      </c>
    </row>
    <row r="70" spans="2:10" x14ac:dyDescent="0.25">
      <c r="B70" s="11" t="s">
        <v>57</v>
      </c>
      <c r="C70" s="3">
        <v>0.15090000000000001</v>
      </c>
      <c r="D70" s="3">
        <v>3.6999999999999998E-2</v>
      </c>
      <c r="H70" s="11" t="s">
        <v>57</v>
      </c>
      <c r="I70" s="3">
        <f>SUM(C70:C73)/4</f>
        <v>0.14602500000000002</v>
      </c>
      <c r="J70" s="3">
        <f>SUM(D70:D73)/4</f>
        <v>3.755E-2</v>
      </c>
    </row>
    <row r="71" spans="2:10" x14ac:dyDescent="0.25">
      <c r="C71" s="3">
        <v>0.1462</v>
      </c>
      <c r="D71" s="3">
        <v>2.93E-2</v>
      </c>
    </row>
    <row r="72" spans="2:10" x14ac:dyDescent="0.25">
      <c r="C72" s="3">
        <v>0.14069999999999999</v>
      </c>
      <c r="D72" s="3">
        <v>3.7600000000000001E-2</v>
      </c>
    </row>
    <row r="73" spans="2:10" x14ac:dyDescent="0.25">
      <c r="C73" s="3">
        <v>0.14630000000000001</v>
      </c>
      <c r="D73" s="3">
        <v>4.6300000000000001E-2</v>
      </c>
    </row>
    <row r="74" spans="2:10" x14ac:dyDescent="0.25">
      <c r="B74" s="11" t="s">
        <v>58</v>
      </c>
      <c r="C74" s="3">
        <v>0.1487</v>
      </c>
      <c r="D74" s="3">
        <v>4.1399999999999999E-2</v>
      </c>
      <c r="H74" s="11" t="s">
        <v>58</v>
      </c>
      <c r="I74" s="3">
        <f>SUM(C74:C77)/4</f>
        <v>0.14335000000000001</v>
      </c>
      <c r="J74" s="3">
        <f>SUM(D74:D77)/4</f>
        <v>4.2325000000000002E-2</v>
      </c>
    </row>
    <row r="75" spans="2:10" x14ac:dyDescent="0.25">
      <c r="C75" s="3">
        <v>0.14360000000000001</v>
      </c>
      <c r="D75" s="3">
        <v>3.32E-2</v>
      </c>
    </row>
    <row r="76" spans="2:10" x14ac:dyDescent="0.25">
      <c r="C76" s="3">
        <v>0.13750000000000001</v>
      </c>
      <c r="D76" s="3">
        <v>4.2799999999999998E-2</v>
      </c>
    </row>
    <row r="77" spans="2:10" x14ac:dyDescent="0.25">
      <c r="C77" s="3">
        <v>0.14360000000000001</v>
      </c>
      <c r="D77" s="3">
        <v>5.1900000000000002E-2</v>
      </c>
    </row>
    <row r="78" spans="2:10" x14ac:dyDescent="0.25">
      <c r="B78" s="11" t="s">
        <v>59</v>
      </c>
      <c r="C78" s="3">
        <v>0.14630000000000001</v>
      </c>
      <c r="D78" s="3">
        <v>4.6300000000000001E-2</v>
      </c>
      <c r="H78" s="11" t="s">
        <v>59</v>
      </c>
      <c r="I78" s="3">
        <f>SUM(C78:C81)/4</f>
        <v>0.14030000000000001</v>
      </c>
      <c r="J78" s="3">
        <f>SUM(D78:D81)/4</f>
        <v>4.7999999999999994E-2</v>
      </c>
    </row>
    <row r="79" spans="2:10" x14ac:dyDescent="0.25">
      <c r="C79" s="3">
        <v>0.14069999999999999</v>
      </c>
      <c r="D79" s="3">
        <v>3.7600000000000001E-2</v>
      </c>
    </row>
    <row r="80" spans="2:10" x14ac:dyDescent="0.25">
      <c r="C80" s="3">
        <v>0.1338</v>
      </c>
      <c r="D80" s="3">
        <v>4.9299999999999997E-2</v>
      </c>
    </row>
    <row r="81" spans="2:10" x14ac:dyDescent="0.25">
      <c r="C81" s="3">
        <v>0.1404</v>
      </c>
      <c r="D81" s="3">
        <v>5.8799999999999998E-2</v>
      </c>
    </row>
    <row r="82" spans="2:10" x14ac:dyDescent="0.25">
      <c r="B82" s="11" t="s">
        <v>60</v>
      </c>
      <c r="C82" s="3">
        <v>0.14360000000000001</v>
      </c>
      <c r="D82" s="3">
        <v>5.1900000000000002E-2</v>
      </c>
      <c r="H82" s="11" t="s">
        <v>60</v>
      </c>
      <c r="I82" s="3">
        <f>SUM(C82:C85)/4</f>
        <v>0.13592499999999999</v>
      </c>
      <c r="J82" s="3">
        <f>SUM(D82:D85)/4</f>
        <v>5.7349999999999998E-2</v>
      </c>
    </row>
    <row r="83" spans="2:10" x14ac:dyDescent="0.25">
      <c r="C83" s="3">
        <v>0.13750000000000001</v>
      </c>
      <c r="D83" s="3">
        <v>4.2799999999999998E-2</v>
      </c>
    </row>
    <row r="84" spans="2:10" x14ac:dyDescent="0.25">
      <c r="C84" s="3">
        <v>0.12720000000000001</v>
      </c>
      <c r="D84" s="3">
        <v>6.2E-2</v>
      </c>
    </row>
    <row r="85" spans="2:10" x14ac:dyDescent="0.25">
      <c r="C85" s="3">
        <v>0.13539999999999999</v>
      </c>
      <c r="D85" s="3">
        <v>7.2700000000000001E-2</v>
      </c>
    </row>
    <row r="86" spans="2:10" x14ac:dyDescent="0.25">
      <c r="B86" s="11" t="s">
        <v>61</v>
      </c>
      <c r="C86" s="3">
        <v>0.1389</v>
      </c>
      <c r="D86" s="3">
        <v>6.3100000000000003E-2</v>
      </c>
      <c r="H86" s="11" t="s">
        <v>61</v>
      </c>
      <c r="I86" s="3">
        <f>SUM(C86:C89)/4</f>
        <v>0.13</v>
      </c>
      <c r="J86" s="3">
        <f>SUM(D86:D89)/4</f>
        <v>7.1175000000000002E-2</v>
      </c>
    </row>
    <row r="87" spans="2:10" x14ac:dyDescent="0.25">
      <c r="C87" s="3">
        <v>0.13170000000000001</v>
      </c>
      <c r="D87" s="3">
        <v>5.3199999999999997E-2</v>
      </c>
    </row>
    <row r="88" spans="2:10" x14ac:dyDescent="0.25">
      <c r="C88" s="3">
        <v>0.11990000000000001</v>
      </c>
      <c r="D88" s="3">
        <v>7.85E-2</v>
      </c>
    </row>
    <row r="89" spans="2:10" x14ac:dyDescent="0.25">
      <c r="C89" s="3">
        <v>0.1295</v>
      </c>
      <c r="D89" s="3">
        <v>8.9899999999999994E-2</v>
      </c>
    </row>
    <row r="90" spans="2:10" x14ac:dyDescent="0.25">
      <c r="B90" s="11" t="s">
        <v>0</v>
      </c>
      <c r="C90" s="3">
        <v>0.13350000000000001</v>
      </c>
      <c r="D90" s="3">
        <v>7.7899999999999997E-2</v>
      </c>
      <c r="H90" s="11" t="s">
        <v>0</v>
      </c>
      <c r="I90" s="3">
        <f>SUM(C90:C93)/4</f>
        <v>0.12329999999999999</v>
      </c>
      <c r="J90" s="3">
        <f>SUM(D90:D93)/4</f>
        <v>8.9325000000000002E-2</v>
      </c>
    </row>
    <row r="91" spans="2:10" x14ac:dyDescent="0.25">
      <c r="C91" s="3">
        <v>0.12509999999999999</v>
      </c>
      <c r="D91" s="3">
        <v>6.7199999999999996E-2</v>
      </c>
    </row>
    <row r="92" spans="2:10" x14ac:dyDescent="0.25">
      <c r="C92" s="3">
        <v>0.1115</v>
      </c>
      <c r="D92" s="3">
        <v>0.1</v>
      </c>
    </row>
    <row r="93" spans="2:10" x14ac:dyDescent="0.25">
      <c r="C93" s="3">
        <v>0.1231</v>
      </c>
      <c r="D93" s="3">
        <v>0.11219999999999999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6"/>
  <sheetViews>
    <sheetView topLeftCell="A13" workbookViewId="0">
      <selection activeCell="I36" sqref="I36"/>
    </sheetView>
  </sheetViews>
  <sheetFormatPr defaultRowHeight="15" x14ac:dyDescent="0.25"/>
  <cols>
    <col min="1" max="2" width="9.140625" style="3"/>
    <col min="3" max="3" width="9.5703125" style="3" bestFit="1" customWidth="1"/>
    <col min="4" max="4" width="9.85546875" style="3" bestFit="1" customWidth="1"/>
    <col min="5" max="5" width="9.140625" style="3"/>
    <col min="6" max="6" width="18.28515625" style="3" bestFit="1" customWidth="1"/>
    <col min="7" max="16384" width="9.140625" style="3"/>
  </cols>
  <sheetData>
    <row r="1" spans="1:9" x14ac:dyDescent="0.25">
      <c r="A1" s="8" t="s">
        <v>48</v>
      </c>
      <c r="B1" s="3" t="s">
        <v>49</v>
      </c>
      <c r="C1" s="3" t="s">
        <v>62</v>
      </c>
      <c r="D1" s="3" t="s">
        <v>63</v>
      </c>
      <c r="F1" s="3" t="s">
        <v>64</v>
      </c>
      <c r="G1" s="8" t="s">
        <v>48</v>
      </c>
      <c r="H1" s="3" t="s">
        <v>49</v>
      </c>
      <c r="I1" s="3" t="s">
        <v>65</v>
      </c>
    </row>
    <row r="2" spans="1:9" x14ac:dyDescent="0.25">
      <c r="B2" s="8" t="s">
        <v>66</v>
      </c>
      <c r="C2" s="3">
        <v>500</v>
      </c>
      <c r="D2" s="3">
        <v>630</v>
      </c>
      <c r="H2" s="8" t="s">
        <v>66</v>
      </c>
      <c r="I2" s="3">
        <f>SUM(C2:D2)/2</f>
        <v>565</v>
      </c>
    </row>
    <row r="3" spans="1:9" x14ac:dyDescent="0.25">
      <c r="B3" s="8" t="s">
        <v>67</v>
      </c>
      <c r="C3" s="3">
        <v>529</v>
      </c>
      <c r="D3" s="3">
        <v>669</v>
      </c>
      <c r="H3" s="8" t="s">
        <v>67</v>
      </c>
      <c r="I3" s="3">
        <f t="shared" ref="I3:I10" si="0">SUM(C3:D3)/2</f>
        <v>599</v>
      </c>
    </row>
    <row r="4" spans="1:9" x14ac:dyDescent="0.25">
      <c r="B4" s="8" t="s">
        <v>68</v>
      </c>
      <c r="C4" s="3">
        <v>560</v>
      </c>
      <c r="D4" s="3">
        <v>710</v>
      </c>
      <c r="H4" s="8" t="s">
        <v>68</v>
      </c>
      <c r="I4" s="3">
        <f t="shared" si="0"/>
        <v>635</v>
      </c>
    </row>
    <row r="5" spans="1:9" x14ac:dyDescent="0.25">
      <c r="B5" s="8" t="s">
        <v>69</v>
      </c>
      <c r="C5" s="3">
        <v>594</v>
      </c>
      <c r="D5" s="3">
        <v>754</v>
      </c>
      <c r="H5" s="8" t="s">
        <v>69</v>
      </c>
      <c r="I5" s="3">
        <f t="shared" si="0"/>
        <v>674</v>
      </c>
    </row>
    <row r="6" spans="1:9" x14ac:dyDescent="0.25">
      <c r="B6" s="8" t="s">
        <v>70</v>
      </c>
      <c r="C6" s="3">
        <v>630</v>
      </c>
      <c r="D6" s="3">
        <v>800</v>
      </c>
      <c r="H6" s="8" t="s">
        <v>70</v>
      </c>
      <c r="I6" s="3">
        <f t="shared" si="0"/>
        <v>715</v>
      </c>
    </row>
    <row r="7" spans="1:9" x14ac:dyDescent="0.25">
      <c r="B7" s="8" t="s">
        <v>71</v>
      </c>
      <c r="C7" s="3">
        <v>669</v>
      </c>
      <c r="D7" s="3">
        <v>849</v>
      </c>
      <c r="H7" s="8" t="s">
        <v>71</v>
      </c>
      <c r="I7" s="3">
        <f t="shared" si="0"/>
        <v>759</v>
      </c>
    </row>
    <row r="8" spans="1:9" x14ac:dyDescent="0.25">
      <c r="B8" s="8" t="s">
        <v>43</v>
      </c>
      <c r="C8" s="3">
        <v>710</v>
      </c>
      <c r="D8" s="3">
        <v>900</v>
      </c>
      <c r="H8" s="8" t="s">
        <v>43</v>
      </c>
      <c r="I8" s="3">
        <f t="shared" si="0"/>
        <v>805</v>
      </c>
    </row>
    <row r="9" spans="1:9" x14ac:dyDescent="0.25">
      <c r="B9" s="8" t="s">
        <v>72</v>
      </c>
      <c r="C9" s="3">
        <v>754</v>
      </c>
      <c r="D9" s="3">
        <v>949</v>
      </c>
      <c r="H9" s="8" t="s">
        <v>72</v>
      </c>
      <c r="I9" s="3">
        <f t="shared" si="0"/>
        <v>851.5</v>
      </c>
    </row>
    <row r="10" spans="1:9" x14ac:dyDescent="0.25">
      <c r="B10" s="8" t="s">
        <v>73</v>
      </c>
      <c r="C10" s="3">
        <v>800</v>
      </c>
      <c r="D10" s="3">
        <v>1000</v>
      </c>
      <c r="H10" s="8" t="s">
        <v>73</v>
      </c>
      <c r="I10" s="3">
        <f t="shared" si="0"/>
        <v>900</v>
      </c>
    </row>
    <row r="12" spans="1:9" x14ac:dyDescent="0.25">
      <c r="A12" s="10" t="s">
        <v>51</v>
      </c>
      <c r="B12" s="3" t="s">
        <v>49</v>
      </c>
      <c r="C12" s="3" t="s">
        <v>62</v>
      </c>
      <c r="D12" s="3" t="s">
        <v>63</v>
      </c>
      <c r="F12" s="3" t="s">
        <v>64</v>
      </c>
      <c r="G12" s="10" t="s">
        <v>51</v>
      </c>
      <c r="H12" s="3" t="s">
        <v>49</v>
      </c>
      <c r="I12" s="3" t="s">
        <v>65</v>
      </c>
    </row>
    <row r="13" spans="1:9" x14ac:dyDescent="0.25">
      <c r="B13" s="10" t="s">
        <v>74</v>
      </c>
      <c r="C13" s="3">
        <v>1250</v>
      </c>
      <c r="D13" s="3">
        <v>1590</v>
      </c>
      <c r="H13" s="10" t="s">
        <v>74</v>
      </c>
      <c r="I13" s="3">
        <f t="shared" ref="I13:I17" si="1">SUM(C13:D13)/2</f>
        <v>1420</v>
      </c>
    </row>
    <row r="14" spans="1:9" x14ac:dyDescent="0.25">
      <c r="B14" s="10" t="s">
        <v>44</v>
      </c>
      <c r="C14" s="3">
        <v>1323</v>
      </c>
      <c r="D14" s="3">
        <v>1692</v>
      </c>
      <c r="H14" s="10" t="s">
        <v>44</v>
      </c>
      <c r="I14" s="3">
        <f t="shared" si="1"/>
        <v>1507.5</v>
      </c>
    </row>
    <row r="15" spans="1:9" x14ac:dyDescent="0.25">
      <c r="B15" s="10" t="s">
        <v>75</v>
      </c>
      <c r="C15" s="3">
        <v>1400</v>
      </c>
      <c r="D15" s="3">
        <v>1800</v>
      </c>
      <c r="H15" s="10" t="s">
        <v>75</v>
      </c>
      <c r="I15" s="3">
        <f t="shared" si="1"/>
        <v>1600</v>
      </c>
    </row>
    <row r="16" spans="1:9" x14ac:dyDescent="0.25">
      <c r="B16" s="10" t="s">
        <v>76</v>
      </c>
      <c r="C16" s="3">
        <v>1492</v>
      </c>
      <c r="D16" s="3">
        <v>1902</v>
      </c>
      <c r="H16" s="10" t="s">
        <v>76</v>
      </c>
      <c r="I16" s="3">
        <f t="shared" si="1"/>
        <v>1697</v>
      </c>
    </row>
    <row r="17" spans="1:9" x14ac:dyDescent="0.25">
      <c r="B17" s="10" t="s">
        <v>77</v>
      </c>
      <c r="C17" s="3">
        <v>1590</v>
      </c>
      <c r="D17" s="3">
        <v>2010</v>
      </c>
      <c r="H17" s="10" t="s">
        <v>77</v>
      </c>
      <c r="I17" s="3">
        <f t="shared" si="1"/>
        <v>1800</v>
      </c>
    </row>
    <row r="19" spans="1:9" x14ac:dyDescent="0.25">
      <c r="A19" s="11" t="s">
        <v>52</v>
      </c>
      <c r="B19" s="3" t="s">
        <v>49</v>
      </c>
      <c r="C19" s="3" t="s">
        <v>62</v>
      </c>
      <c r="D19" s="3" t="s">
        <v>63</v>
      </c>
      <c r="F19" s="3" t="s">
        <v>64</v>
      </c>
      <c r="G19" s="11" t="s">
        <v>52</v>
      </c>
      <c r="H19" s="3" t="s">
        <v>49</v>
      </c>
      <c r="I19" s="3" t="s">
        <v>65</v>
      </c>
    </row>
    <row r="20" spans="1:9" x14ac:dyDescent="0.25">
      <c r="B20" s="11" t="s">
        <v>78</v>
      </c>
      <c r="C20" s="3">
        <v>180</v>
      </c>
      <c r="D20" s="3">
        <v>224</v>
      </c>
      <c r="H20" s="11" t="s">
        <v>78</v>
      </c>
      <c r="I20" s="3">
        <f t="shared" ref="I20:I36" si="2">SUM(C20:D20)/2</f>
        <v>202</v>
      </c>
    </row>
    <row r="21" spans="1:9" x14ac:dyDescent="0.25">
      <c r="B21" s="11" t="s">
        <v>79</v>
      </c>
      <c r="C21" s="3">
        <v>190</v>
      </c>
      <c r="D21" s="3">
        <v>237</v>
      </c>
      <c r="H21" s="11" t="s">
        <v>79</v>
      </c>
      <c r="I21" s="3">
        <f t="shared" si="2"/>
        <v>213.5</v>
      </c>
    </row>
    <row r="22" spans="1:9" x14ac:dyDescent="0.25">
      <c r="B22" s="11" t="s">
        <v>80</v>
      </c>
      <c r="C22" s="3">
        <v>201</v>
      </c>
      <c r="D22" s="3">
        <v>250</v>
      </c>
      <c r="H22" s="11" t="s">
        <v>80</v>
      </c>
      <c r="I22" s="3">
        <f t="shared" si="2"/>
        <v>225.5</v>
      </c>
    </row>
    <row r="23" spans="1:9" x14ac:dyDescent="0.25">
      <c r="B23" s="11" t="s">
        <v>81</v>
      </c>
      <c r="C23" s="3">
        <v>212</v>
      </c>
      <c r="D23" s="3">
        <v>265</v>
      </c>
      <c r="H23" s="11" t="s">
        <v>81</v>
      </c>
      <c r="I23" s="3">
        <f t="shared" si="2"/>
        <v>238.5</v>
      </c>
    </row>
    <row r="24" spans="1:9" x14ac:dyDescent="0.25">
      <c r="B24" s="11" t="s">
        <v>46</v>
      </c>
      <c r="C24" s="3">
        <v>224</v>
      </c>
      <c r="D24" s="3">
        <v>280</v>
      </c>
      <c r="H24" s="11" t="s">
        <v>46</v>
      </c>
      <c r="I24" s="3">
        <f t="shared" si="2"/>
        <v>252</v>
      </c>
    </row>
    <row r="25" spans="1:9" x14ac:dyDescent="0.25">
      <c r="B25" s="11" t="s">
        <v>82</v>
      </c>
      <c r="C25" s="3">
        <v>237</v>
      </c>
      <c r="D25" s="3">
        <v>297</v>
      </c>
      <c r="H25" s="11" t="s">
        <v>82</v>
      </c>
      <c r="I25" s="3">
        <f t="shared" si="2"/>
        <v>267</v>
      </c>
    </row>
    <row r="26" spans="1:9" x14ac:dyDescent="0.25">
      <c r="B26" s="11" t="s">
        <v>83</v>
      </c>
      <c r="C26" s="3">
        <v>250</v>
      </c>
      <c r="D26" s="3">
        <v>315</v>
      </c>
      <c r="H26" s="11" t="s">
        <v>83</v>
      </c>
      <c r="I26" s="3">
        <f t="shared" si="2"/>
        <v>282.5</v>
      </c>
    </row>
    <row r="27" spans="1:9" x14ac:dyDescent="0.25">
      <c r="B27" s="11" t="s">
        <v>84</v>
      </c>
      <c r="C27" s="3">
        <v>265</v>
      </c>
      <c r="D27" s="3">
        <v>334</v>
      </c>
      <c r="H27" s="11" t="s">
        <v>84</v>
      </c>
      <c r="I27" s="3">
        <f t="shared" si="2"/>
        <v>299.5</v>
      </c>
    </row>
    <row r="28" spans="1:9" x14ac:dyDescent="0.25">
      <c r="B28" s="11" t="s">
        <v>85</v>
      </c>
      <c r="C28" s="3">
        <v>280</v>
      </c>
      <c r="D28" s="3">
        <v>355</v>
      </c>
      <c r="H28" s="11" t="s">
        <v>85</v>
      </c>
      <c r="I28" s="3">
        <f t="shared" si="2"/>
        <v>317.5</v>
      </c>
    </row>
    <row r="29" spans="1:9" x14ac:dyDescent="0.25">
      <c r="B29" s="11" t="s">
        <v>86</v>
      </c>
      <c r="C29" s="3">
        <v>297</v>
      </c>
      <c r="D29" s="3">
        <v>377</v>
      </c>
      <c r="H29" s="11" t="s">
        <v>86</v>
      </c>
      <c r="I29" s="3">
        <f t="shared" si="2"/>
        <v>337</v>
      </c>
    </row>
    <row r="30" spans="1:9" x14ac:dyDescent="0.25">
      <c r="B30" s="11" t="s">
        <v>87</v>
      </c>
      <c r="C30" s="3">
        <v>315</v>
      </c>
      <c r="D30" s="3">
        <v>400</v>
      </c>
      <c r="H30" s="11" t="s">
        <v>87</v>
      </c>
      <c r="I30" s="3">
        <f t="shared" si="2"/>
        <v>357.5</v>
      </c>
    </row>
    <row r="31" spans="1:9" x14ac:dyDescent="0.25">
      <c r="B31" s="11" t="s">
        <v>88</v>
      </c>
      <c r="C31" s="3">
        <v>334</v>
      </c>
      <c r="D31" s="3">
        <v>424</v>
      </c>
      <c r="H31" s="11" t="s">
        <v>88</v>
      </c>
      <c r="I31" s="3">
        <f t="shared" si="2"/>
        <v>379</v>
      </c>
    </row>
    <row r="32" spans="1:9" x14ac:dyDescent="0.25">
      <c r="B32" s="11" t="s">
        <v>89</v>
      </c>
      <c r="C32" s="3">
        <v>355</v>
      </c>
      <c r="D32" s="3">
        <v>450</v>
      </c>
      <c r="H32" s="11" t="s">
        <v>89</v>
      </c>
      <c r="I32" s="3">
        <f t="shared" si="2"/>
        <v>402.5</v>
      </c>
    </row>
    <row r="33" spans="2:9" x14ac:dyDescent="0.25">
      <c r="B33" s="11" t="s">
        <v>90</v>
      </c>
      <c r="C33" s="3">
        <v>377</v>
      </c>
      <c r="D33" s="3">
        <v>474</v>
      </c>
      <c r="H33" s="11" t="s">
        <v>90</v>
      </c>
      <c r="I33" s="3">
        <f t="shared" si="2"/>
        <v>425.5</v>
      </c>
    </row>
    <row r="34" spans="2:9" x14ac:dyDescent="0.25">
      <c r="B34" s="11" t="s">
        <v>91</v>
      </c>
      <c r="C34" s="3">
        <v>400</v>
      </c>
      <c r="D34" s="3">
        <v>500</v>
      </c>
      <c r="H34" s="11" t="s">
        <v>91</v>
      </c>
      <c r="I34" s="3">
        <f t="shared" si="2"/>
        <v>450</v>
      </c>
    </row>
    <row r="35" spans="2:9" x14ac:dyDescent="0.25">
      <c r="B35" s="11" t="s">
        <v>92</v>
      </c>
      <c r="C35" s="3">
        <v>424</v>
      </c>
      <c r="D35" s="3">
        <v>529</v>
      </c>
      <c r="H35" s="11" t="s">
        <v>92</v>
      </c>
      <c r="I35" s="3">
        <f t="shared" si="2"/>
        <v>476.5</v>
      </c>
    </row>
    <row r="36" spans="2:9" x14ac:dyDescent="0.25">
      <c r="B36" s="11" t="s">
        <v>93</v>
      </c>
      <c r="C36" s="3">
        <v>450</v>
      </c>
      <c r="D36" s="3">
        <v>560</v>
      </c>
      <c r="H36" s="11" t="s">
        <v>93</v>
      </c>
      <c r="I36" s="3">
        <f t="shared" si="2"/>
        <v>505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12.7109375" style="1" bestFit="1" customWidth="1"/>
    <col min="3" max="3" width="12.85546875" style="1" bestFit="1" customWidth="1"/>
    <col min="4" max="4" width="12.140625" style="1" bestFit="1" customWidth="1"/>
    <col min="5" max="6" width="9.42578125" style="1" bestFit="1" customWidth="1"/>
    <col min="7" max="8" width="9.28515625" style="1" bestFit="1" customWidth="1"/>
    <col min="9" max="16384" width="9.140625" style="1"/>
  </cols>
  <sheetData>
    <row r="1" spans="1:13" x14ac:dyDescent="0.25">
      <c r="A1" s="1" t="s">
        <v>0</v>
      </c>
      <c r="E1" s="1" t="s">
        <v>1</v>
      </c>
      <c r="J1" s="1" t="s">
        <v>2</v>
      </c>
    </row>
    <row r="2" spans="1:13" x14ac:dyDescent="0.25">
      <c r="A2" s="1" t="s">
        <v>3</v>
      </c>
      <c r="B2" s="1" t="s">
        <v>4</v>
      </c>
      <c r="C2" s="1" t="s">
        <v>5</v>
      </c>
      <c r="E2" s="1" t="s">
        <v>3</v>
      </c>
      <c r="F2" s="1" t="s">
        <v>4</v>
      </c>
      <c r="G2" s="1" t="s">
        <v>6</v>
      </c>
      <c r="H2" s="1" t="s">
        <v>5</v>
      </c>
      <c r="J2" s="1" t="s">
        <v>3</v>
      </c>
      <c r="K2" s="1" t="s">
        <v>4</v>
      </c>
      <c r="L2" s="1" t="s">
        <v>6</v>
      </c>
      <c r="M2" s="1" t="s">
        <v>5</v>
      </c>
    </row>
    <row r="3" spans="1:13" x14ac:dyDescent="0.25">
      <c r="A3" s="1" t="s">
        <v>7</v>
      </c>
      <c r="C3" s="1" t="s">
        <v>8</v>
      </c>
      <c r="E3" s="1" t="s">
        <v>7</v>
      </c>
      <c r="G3" s="1" t="s">
        <v>9</v>
      </c>
      <c r="H3" s="1" t="s">
        <v>9</v>
      </c>
      <c r="J3" s="1" t="s">
        <v>7</v>
      </c>
      <c r="L3" s="1" t="s">
        <v>9</v>
      </c>
      <c r="M3" s="1" t="s">
        <v>9</v>
      </c>
    </row>
    <row r="4" spans="1:13" x14ac:dyDescent="0.25">
      <c r="A4" s="1">
        <v>1</v>
      </c>
      <c r="B4" s="1">
        <v>2.5999999999999999E-2</v>
      </c>
      <c r="C4" s="1">
        <v>0</v>
      </c>
      <c r="E4" s="1">
        <v>5</v>
      </c>
      <c r="F4" s="1">
        <v>0.32400000000000001</v>
      </c>
      <c r="G4" s="1">
        <v>538.70000000000005</v>
      </c>
      <c r="H4" s="1">
        <v>6.7</v>
      </c>
      <c r="J4" s="1">
        <v>5</v>
      </c>
      <c r="K4" s="1">
        <v>0.318</v>
      </c>
      <c r="L4" s="1">
        <v>467.16</v>
      </c>
      <c r="M4" s="1">
        <v>2.160000000000025</v>
      </c>
    </row>
    <row r="5" spans="1:13" x14ac:dyDescent="0.25">
      <c r="A5" s="1">
        <v>2</v>
      </c>
      <c r="B5" s="1">
        <v>7.0000000000000007E-2</v>
      </c>
      <c r="C5" s="1">
        <v>0</v>
      </c>
      <c r="E5" s="1">
        <v>10</v>
      </c>
      <c r="F5" s="1">
        <v>0.58099999999999996</v>
      </c>
      <c r="G5" s="1">
        <v>535.6</v>
      </c>
      <c r="H5" s="1">
        <v>3.6</v>
      </c>
      <c r="J5" s="1">
        <v>10</v>
      </c>
      <c r="K5" s="1">
        <v>0.57499999999999996</v>
      </c>
      <c r="L5" s="1">
        <v>466.17</v>
      </c>
      <c r="M5" s="1">
        <v>1.1700000000000159</v>
      </c>
    </row>
    <row r="6" spans="1:13" x14ac:dyDescent="0.25">
      <c r="A6" s="1">
        <v>5</v>
      </c>
      <c r="B6" s="1">
        <v>0.22</v>
      </c>
      <c r="C6" s="1">
        <v>0</v>
      </c>
      <c r="E6" s="1">
        <v>20</v>
      </c>
      <c r="F6" s="1">
        <v>1</v>
      </c>
      <c r="G6" s="1">
        <v>532</v>
      </c>
      <c r="H6" s="1">
        <v>0</v>
      </c>
      <c r="J6" s="1">
        <v>20</v>
      </c>
      <c r="K6" s="1">
        <v>1</v>
      </c>
      <c r="L6" s="1">
        <v>465</v>
      </c>
      <c r="M6" s="1">
        <v>0</v>
      </c>
    </row>
    <row r="7" spans="1:13" x14ac:dyDescent="0.25">
      <c r="A7" s="1">
        <v>10</v>
      </c>
      <c r="B7" s="1">
        <v>0.49</v>
      </c>
      <c r="C7" s="1">
        <v>0</v>
      </c>
      <c r="E7" s="1">
        <v>30</v>
      </c>
      <c r="F7" s="1">
        <v>1.35</v>
      </c>
      <c r="G7" s="1">
        <v>529.6</v>
      </c>
      <c r="H7" s="1">
        <v>-2.4</v>
      </c>
      <c r="J7" s="1">
        <v>30</v>
      </c>
      <c r="K7" s="1">
        <v>1.3620000000000001</v>
      </c>
      <c r="L7" s="1">
        <v>464.23</v>
      </c>
      <c r="M7" s="1">
        <v>-0.76999999999998181</v>
      </c>
    </row>
    <row r="8" spans="1:13" x14ac:dyDescent="0.25">
      <c r="A8" s="1">
        <v>20</v>
      </c>
      <c r="B8" s="1">
        <v>1</v>
      </c>
      <c r="C8" s="1">
        <v>0</v>
      </c>
      <c r="E8" s="1">
        <v>50</v>
      </c>
      <c r="F8" s="1">
        <v>1.9339999999999999</v>
      </c>
      <c r="G8" s="1">
        <v>526.5</v>
      </c>
      <c r="H8" s="1">
        <v>-5.5</v>
      </c>
      <c r="J8" s="1">
        <v>50</v>
      </c>
      <c r="K8" s="1">
        <v>1.972</v>
      </c>
      <c r="L8" s="1">
        <v>463.25</v>
      </c>
      <c r="M8" s="1">
        <v>-1.75</v>
      </c>
    </row>
    <row r="9" spans="1:13" x14ac:dyDescent="0.25">
      <c r="A9" s="1">
        <v>30</v>
      </c>
      <c r="B9" s="1">
        <v>1.5</v>
      </c>
      <c r="C9" s="1">
        <v>0</v>
      </c>
    </row>
    <row r="10" spans="1:13" x14ac:dyDescent="0.25">
      <c r="A10" s="1">
        <v>40</v>
      </c>
      <c r="B10" s="1">
        <v>1.95</v>
      </c>
      <c r="C10" s="1">
        <v>0</v>
      </c>
    </row>
    <row r="13" spans="1:13" x14ac:dyDescent="0.25">
      <c r="A13" s="1" t="s">
        <v>13</v>
      </c>
      <c r="J13" s="1" t="s">
        <v>17</v>
      </c>
    </row>
    <row r="14" spans="1:13" x14ac:dyDescent="0.25">
      <c r="A14" s="12" t="s">
        <v>0</v>
      </c>
      <c r="B14" s="1">
        <f t="array" ref="B14:H14">LINEST(B4:B10,A4:A10^COLUMN(A:F), TRUE, TRUE)</f>
        <v>6.1744399312176276E-10</v>
      </c>
      <c r="C14" s="1">
        <v>-1.1777912213453618E-7</v>
      </c>
      <c r="D14" s="1">
        <v>7.6673590105412013E-6</v>
      </c>
      <c r="E14" s="1">
        <v>-2.2394367143891748E-4</v>
      </c>
      <c r="F14" s="1">
        <v>2.959837332793792E-3</v>
      </c>
      <c r="G14" s="1">
        <v>3.657669557034967E-2</v>
      </c>
      <c r="H14" s="1">
        <v>-1.3320139429039535E-2</v>
      </c>
      <c r="J14" s="8">
        <f>'RGB Mixing'!$G$6</f>
        <v>20</v>
      </c>
      <c r="K14" s="1">
        <f>B14*J14^6+C14*J14^5+D14*J14^4+E14*J14^3+F14*J14^2+G14*J14+H14</f>
        <v>1</v>
      </c>
    </row>
    <row r="15" spans="1:13" x14ac:dyDescent="0.25">
      <c r="A15" s="13" t="s">
        <v>1</v>
      </c>
      <c r="B15" s="1">
        <f t="array" ref="B15:F15">LINEST(F4:F8,E4:E8^COLUMN(A:D), TRUE,TRUE)</f>
        <v>-1.720370370370467E-7</v>
      </c>
      <c r="C15" s="1">
        <v>2.2715740740741635E-5</v>
      </c>
      <c r="D15" s="1">
        <v>-1.2778518518518768E-3</v>
      </c>
      <c r="E15" s="1">
        <v>6.6915092592592804E-2</v>
      </c>
      <c r="F15" s="1">
        <v>1.8638888888888788E-2</v>
      </c>
      <c r="J15" s="10">
        <f>'RGB Mixing'!$G$7</f>
        <v>20</v>
      </c>
      <c r="K15" s="1">
        <f>B15*J15^4+C15*J15^3+D15*J15^2+E15*J15+F15</f>
        <v>0.99999999999999989</v>
      </c>
    </row>
    <row r="16" spans="1:13" x14ac:dyDescent="0.25">
      <c r="A16" s="14" t="s">
        <v>2</v>
      </c>
      <c r="B16" s="1">
        <f t="array" ref="B16:F16">LINEST(K4:K8, J4:J8^COLUMN(A:D), TRUE, TRUE)</f>
        <v>-1.7796296296297615E-7</v>
      </c>
      <c r="C16" s="1">
        <v>2.2700925925927215E-5</v>
      </c>
      <c r="D16" s="1">
        <v>-1.2321481481481879E-3</v>
      </c>
      <c r="E16" s="1">
        <v>6.6243240740741172E-2</v>
      </c>
      <c r="F16" s="1">
        <v>1.4861111111110048E-2</v>
      </c>
      <c r="J16" s="15">
        <f>'RGB Mixing'!$G$8</f>
        <v>20</v>
      </c>
      <c r="K16" s="1">
        <f t="shared" ref="K16:K21" si="0">B16*J16^4+C16*J16^3+D16*J16^2+E16*J16+F16</f>
        <v>0.99999999999999978</v>
      </c>
    </row>
    <row r="17" spans="1:11" x14ac:dyDescent="0.25">
      <c r="J17" s="3"/>
    </row>
    <row r="18" spans="1:11" x14ac:dyDescent="0.25">
      <c r="J18" s="3"/>
    </row>
    <row r="19" spans="1:11" x14ac:dyDescent="0.25">
      <c r="A19" s="1" t="s">
        <v>14</v>
      </c>
      <c r="J19" s="3"/>
    </row>
    <row r="20" spans="1:11" x14ac:dyDescent="0.25">
      <c r="A20" s="13" t="s">
        <v>1</v>
      </c>
      <c r="B20" s="1">
        <f t="array" ref="B20:F20">LINEST(H4:H8,E4:E8^COLUMN(A:D), TRUE, TRUE)</f>
        <v>8.3148148148152617E-6</v>
      </c>
      <c r="C20" s="1">
        <v>-9.9379629629634111E-4</v>
      </c>
      <c r="D20" s="1">
        <v>4.4840740740742208E-2</v>
      </c>
      <c r="E20" s="1">
        <v>-1.1342870370370548</v>
      </c>
      <c r="F20" s="1">
        <v>11.3694444444445</v>
      </c>
      <c r="J20" s="10">
        <f>J15</f>
        <v>20</v>
      </c>
      <c r="K20" s="1">
        <f t="shared" si="0"/>
        <v>0</v>
      </c>
    </row>
    <row r="21" spans="1:11" x14ac:dyDescent="0.25">
      <c r="A21" s="14" t="s">
        <v>2</v>
      </c>
      <c r="B21" s="1">
        <f t="array" ref="B21:F21">LINEST(M4:M8,J4:J8^COLUMN(A:D), TRUE, TRUE)</f>
        <v>2.4296296296295075E-6</v>
      </c>
      <c r="C21" s="1">
        <v>-2.9392592592591765E-4</v>
      </c>
      <c r="D21" s="1">
        <v>1.3561481481481421E-2</v>
      </c>
      <c r="E21" s="1">
        <v>-0.35454074074074388</v>
      </c>
      <c r="F21" s="1">
        <v>3.6288888888889295</v>
      </c>
      <c r="J21" s="15">
        <f>J16</f>
        <v>20</v>
      </c>
      <c r="K21" s="1">
        <f t="shared" si="0"/>
        <v>0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4"/>
  <sheetViews>
    <sheetView workbookViewId="0">
      <selection sqref="A1:XFD1048576"/>
    </sheetView>
  </sheetViews>
  <sheetFormatPr defaultRowHeight="15" x14ac:dyDescent="0.25"/>
  <cols>
    <col min="1" max="1" width="9.140625" style="3"/>
    <col min="2" max="2" width="13" style="3" bestFit="1" customWidth="1"/>
    <col min="3" max="3" width="12.7109375" style="3" bestFit="1" customWidth="1"/>
    <col min="4" max="5" width="13" style="3" bestFit="1" customWidth="1"/>
    <col min="6" max="6" width="12.85546875" style="3" bestFit="1" customWidth="1"/>
    <col min="7" max="8" width="9.5703125" style="3" bestFit="1" customWidth="1"/>
    <col min="9" max="16384" width="9.140625" style="3"/>
  </cols>
  <sheetData>
    <row r="1" spans="1:14" x14ac:dyDescent="0.25">
      <c r="A1" s="3" t="s">
        <v>0</v>
      </c>
      <c r="F1" s="3" t="s">
        <v>1</v>
      </c>
      <c r="K1" s="3" t="s">
        <v>2</v>
      </c>
    </row>
    <row r="2" spans="1:14" x14ac:dyDescent="0.25">
      <c r="A2" s="3" t="s">
        <v>10</v>
      </c>
      <c r="B2" s="3" t="s">
        <v>4</v>
      </c>
      <c r="C2" s="3" t="s">
        <v>6</v>
      </c>
      <c r="D2" s="3" t="s">
        <v>5</v>
      </c>
      <c r="F2" s="3" t="s">
        <v>10</v>
      </c>
      <c r="G2" s="3" t="s">
        <v>4</v>
      </c>
      <c r="H2" s="3" t="s">
        <v>6</v>
      </c>
      <c r="I2" s="3" t="s">
        <v>5</v>
      </c>
      <c r="K2" s="3" t="s">
        <v>10</v>
      </c>
      <c r="L2" s="3" t="s">
        <v>4</v>
      </c>
      <c r="M2" s="3" t="s">
        <v>6</v>
      </c>
      <c r="N2" s="3" t="s">
        <v>5</v>
      </c>
    </row>
    <row r="3" spans="1:14" x14ac:dyDescent="0.25">
      <c r="A3" s="3" t="s">
        <v>11</v>
      </c>
      <c r="C3" s="3" t="s">
        <v>9</v>
      </c>
      <c r="D3" s="3" t="s">
        <v>9</v>
      </c>
      <c r="F3" s="3" t="s">
        <v>11</v>
      </c>
      <c r="H3" s="3" t="s">
        <v>9</v>
      </c>
      <c r="I3" s="3" t="s">
        <v>12</v>
      </c>
      <c r="K3" s="3" t="s">
        <v>11</v>
      </c>
      <c r="M3" s="3" t="s">
        <v>9</v>
      </c>
      <c r="N3" s="3" t="s">
        <v>9</v>
      </c>
    </row>
    <row r="4" spans="1:14" x14ac:dyDescent="0.25">
      <c r="A4" s="3">
        <v>120</v>
      </c>
      <c r="B4" s="3">
        <v>0.375</v>
      </c>
      <c r="C4" s="3">
        <v>628.07299999999998</v>
      </c>
      <c r="D4" s="3">
        <v>5.0989999999999327</v>
      </c>
      <c r="F4" s="3">
        <v>125</v>
      </c>
      <c r="G4" s="3">
        <v>0.85599999999999998</v>
      </c>
      <c r="H4" s="3">
        <v>531.69100000000003</v>
      </c>
      <c r="I4" s="3">
        <v>3.3660000000000001</v>
      </c>
      <c r="K4" s="3">
        <v>120</v>
      </c>
      <c r="L4" s="3">
        <v>0.96799999999999997</v>
      </c>
      <c r="M4" s="3">
        <v>469.23</v>
      </c>
      <c r="N4" s="3">
        <v>4.2300000000000004</v>
      </c>
    </row>
    <row r="5" spans="1:14" x14ac:dyDescent="0.25">
      <c r="A5" s="3">
        <v>100</v>
      </c>
      <c r="B5" s="3">
        <v>0.49099999999999999</v>
      </c>
      <c r="C5" s="3">
        <v>627.39200000000005</v>
      </c>
      <c r="D5" s="3">
        <v>4.4180000000000064</v>
      </c>
      <c r="F5" s="3">
        <v>100</v>
      </c>
      <c r="G5" s="3">
        <v>0.89200000000000002</v>
      </c>
      <c r="H5" s="3">
        <v>530.70000000000005</v>
      </c>
      <c r="I5" s="3">
        <v>2.375</v>
      </c>
      <c r="K5" s="3">
        <v>100</v>
      </c>
      <c r="L5" s="3">
        <v>0.97</v>
      </c>
      <c r="M5" s="3">
        <v>468.45</v>
      </c>
      <c r="N5" s="3">
        <v>3.45</v>
      </c>
    </row>
    <row r="6" spans="1:14" x14ac:dyDescent="0.25">
      <c r="A6" s="3">
        <v>85</v>
      </c>
      <c r="B6" s="3">
        <v>0.58899999999999997</v>
      </c>
      <c r="C6" s="3">
        <v>626.48400000000004</v>
      </c>
      <c r="D6" s="3">
        <v>3.5099999999999909</v>
      </c>
      <c r="F6" s="3">
        <v>85</v>
      </c>
      <c r="G6" s="3">
        <v>0.91500000000000004</v>
      </c>
      <c r="H6" s="3">
        <v>530.13400000000001</v>
      </c>
      <c r="I6" s="3">
        <v>1.8089999999999999</v>
      </c>
      <c r="K6" s="3">
        <v>85</v>
      </c>
      <c r="L6" s="3">
        <v>0.97499999999999998</v>
      </c>
      <c r="M6" s="3">
        <v>467.82</v>
      </c>
      <c r="N6" s="3">
        <v>2.82</v>
      </c>
    </row>
    <row r="7" spans="1:14" x14ac:dyDescent="0.25">
      <c r="A7" s="3">
        <v>50</v>
      </c>
      <c r="B7" s="3">
        <v>0.83199999999999996</v>
      </c>
      <c r="C7" s="3">
        <v>624.72400000000005</v>
      </c>
      <c r="D7" s="3">
        <v>1.75</v>
      </c>
      <c r="F7" s="3">
        <v>50</v>
      </c>
      <c r="G7" s="3">
        <v>0.97</v>
      </c>
      <c r="H7" s="3">
        <v>528.98099999999999</v>
      </c>
      <c r="I7" s="3">
        <v>0.65600000000000003</v>
      </c>
      <c r="K7" s="3">
        <v>50</v>
      </c>
      <c r="L7" s="3">
        <v>0.98</v>
      </c>
      <c r="M7" s="3">
        <v>466.14</v>
      </c>
      <c r="N7" s="3">
        <v>1.1399999999999999</v>
      </c>
    </row>
    <row r="8" spans="1:14" x14ac:dyDescent="0.25">
      <c r="A8" s="3">
        <v>25</v>
      </c>
      <c r="B8" s="3">
        <v>1</v>
      </c>
      <c r="C8" s="3">
        <v>622.97400000000005</v>
      </c>
      <c r="D8" s="3">
        <v>0</v>
      </c>
      <c r="F8" s="3">
        <v>25</v>
      </c>
      <c r="G8" s="3">
        <v>1</v>
      </c>
      <c r="H8" s="3">
        <v>528.32500000000005</v>
      </c>
      <c r="I8" s="3">
        <v>0</v>
      </c>
      <c r="K8" s="3">
        <v>25</v>
      </c>
      <c r="L8" s="3">
        <v>1</v>
      </c>
      <c r="M8" s="3">
        <v>465</v>
      </c>
      <c r="N8" s="3">
        <v>0</v>
      </c>
    </row>
    <row r="9" spans="1:14" x14ac:dyDescent="0.25">
      <c r="A9" s="3">
        <v>0</v>
      </c>
      <c r="B9" s="3">
        <v>1.1599999999999999</v>
      </c>
      <c r="C9" s="3">
        <v>621.26400000000001</v>
      </c>
      <c r="D9" s="3">
        <v>-1.7100000000000364</v>
      </c>
      <c r="F9" s="3">
        <v>0</v>
      </c>
      <c r="G9" s="3">
        <v>1.0129999999999999</v>
      </c>
      <c r="H9" s="3">
        <v>527.9</v>
      </c>
      <c r="I9" s="3">
        <v>-0.42499999999999999</v>
      </c>
      <c r="K9" s="3">
        <v>0</v>
      </c>
      <c r="L9" s="3">
        <v>1.0389999999999999</v>
      </c>
      <c r="M9" s="3">
        <v>463.97</v>
      </c>
      <c r="N9" s="3">
        <v>-1.03</v>
      </c>
    </row>
    <row r="10" spans="1:14" x14ac:dyDescent="0.25">
      <c r="A10" s="3">
        <v>-10</v>
      </c>
      <c r="B10" s="3">
        <v>1.224</v>
      </c>
      <c r="C10" s="3">
        <v>620.58100000000002</v>
      </c>
      <c r="D10" s="3">
        <v>-2.3930000000000291</v>
      </c>
      <c r="F10" s="3">
        <v>-10</v>
      </c>
      <c r="G10" s="3">
        <v>1.0149999999999999</v>
      </c>
      <c r="H10" s="3">
        <v>527.70000000000005</v>
      </c>
      <c r="I10" s="3">
        <v>-0.625</v>
      </c>
      <c r="K10" s="3">
        <v>-10</v>
      </c>
      <c r="L10" s="3">
        <v>1.0940000000000001</v>
      </c>
      <c r="M10" s="3">
        <v>463.61</v>
      </c>
      <c r="N10" s="3">
        <v>-1.39</v>
      </c>
    </row>
    <row r="11" spans="1:14" x14ac:dyDescent="0.25">
      <c r="A11" s="3">
        <v>-20</v>
      </c>
      <c r="B11" s="3">
        <v>1.2889999999999999</v>
      </c>
      <c r="C11" s="3">
        <v>619.81200000000001</v>
      </c>
      <c r="D11" s="3">
        <v>-3.1620000000000346</v>
      </c>
      <c r="F11" s="3">
        <v>-20</v>
      </c>
      <c r="G11" s="3">
        <v>1.0149999999999999</v>
      </c>
      <c r="H11" s="3">
        <v>527.5</v>
      </c>
      <c r="I11" s="3">
        <v>-0.82499999999999996</v>
      </c>
      <c r="K11" s="3">
        <v>-20</v>
      </c>
      <c r="L11" s="3">
        <v>1.1100000000000001</v>
      </c>
      <c r="M11" s="3">
        <v>463.27</v>
      </c>
      <c r="N11" s="3">
        <v>-1.73</v>
      </c>
    </row>
    <row r="12" spans="1:14" x14ac:dyDescent="0.25">
      <c r="A12" s="3">
        <v>-40</v>
      </c>
      <c r="B12" s="3">
        <v>1.417</v>
      </c>
      <c r="C12" s="3">
        <v>618.26700000000005</v>
      </c>
      <c r="D12" s="3">
        <v>-4.7069999999999936</v>
      </c>
      <c r="F12" s="3">
        <v>-40</v>
      </c>
      <c r="G12" s="3">
        <v>1.01</v>
      </c>
      <c r="H12" s="3">
        <v>527.14700000000005</v>
      </c>
      <c r="I12" s="3">
        <v>-1.1779999999999999</v>
      </c>
      <c r="K12" s="3">
        <v>-40</v>
      </c>
      <c r="L12" s="3">
        <v>1.1200000000000001</v>
      </c>
      <c r="M12" s="3">
        <v>462.69</v>
      </c>
      <c r="N12" s="3">
        <v>-2.31</v>
      </c>
    </row>
    <row r="15" spans="1:14" x14ac:dyDescent="0.25">
      <c r="A15" s="3" t="s">
        <v>15</v>
      </c>
      <c r="K15" s="3" t="s">
        <v>18</v>
      </c>
    </row>
    <row r="16" spans="1:14" x14ac:dyDescent="0.25">
      <c r="A16" s="8" t="s">
        <v>0</v>
      </c>
      <c r="B16" s="3">
        <f t="array" ref="B16:H16">LINEST(B4:B12,A4:A12^COLUMN(A:F), TRUE, TRUE)</f>
        <v>-1.1390319694560073E-13</v>
      </c>
      <c r="C16" s="3">
        <v>3.0582847767166845E-11</v>
      </c>
      <c r="D16" s="3">
        <v>-1.4532351487500947E-9</v>
      </c>
      <c r="E16" s="3">
        <v>-9.5120397545374768E-8</v>
      </c>
      <c r="F16" s="3">
        <v>1.7877547534723373E-6</v>
      </c>
      <c r="G16" s="3">
        <v>-6.383251956889914E-3</v>
      </c>
      <c r="H16" s="3">
        <v>1.1600575359584884</v>
      </c>
      <c r="J16" s="8" t="s">
        <v>0</v>
      </c>
      <c r="K16" s="3">
        <f>'RGB Mixing'!$H$6</f>
        <v>25</v>
      </c>
      <c r="L16" s="3">
        <f>B16*K16^6+C16*K16^5+D16*K16^4+E16*K16^3+F16*K16^2+G16*K16+H16</f>
        <v>0.99981050979056818</v>
      </c>
    </row>
    <row r="17" spans="1:12" x14ac:dyDescent="0.25">
      <c r="A17" s="10" t="s">
        <v>1</v>
      </c>
      <c r="B17" s="3">
        <f t="array" ref="B17:H17">LINEST(G4:G12,F4:F12^COLUMN(A:F), TRUE, TRUE)</f>
        <v>-6.6642342771596112E-14</v>
      </c>
      <c r="C17" s="3">
        <v>1.2714575759629205E-11</v>
      </c>
      <c r="D17" s="3">
        <v>1.1028201833619264E-10</v>
      </c>
      <c r="E17" s="3">
        <v>-6.4019657816181797E-8</v>
      </c>
      <c r="F17" s="3">
        <v>-1.0286457662435828E-5</v>
      </c>
      <c r="G17" s="3">
        <v>-2.584764785733442E-4</v>
      </c>
      <c r="H17" s="3">
        <v>1.0133374198894591</v>
      </c>
      <c r="J17" s="10" t="s">
        <v>1</v>
      </c>
      <c r="K17" s="3">
        <f>'RGB Mixing'!$H$7</f>
        <v>25</v>
      </c>
      <c r="L17" s="3">
        <f t="shared" ref="L17:L24" si="0">B17*K17^6+C17*K17^5+D17*K17^4+E17*K17^3+F17*K17^2+G17*K17+H17</f>
        <v>0.99959713932182481</v>
      </c>
    </row>
    <row r="18" spans="1:12" x14ac:dyDescent="0.25">
      <c r="A18" s="15" t="s">
        <v>2</v>
      </c>
      <c r="B18" s="3">
        <f t="array" ref="B18:H18">LINEST(L4:L12,K4:K12^COLUMN(A:F), TRUE, TRUE)</f>
        <v>-3.9304198261616678E-13</v>
      </c>
      <c r="C18" s="3">
        <v>1.4204754939349992E-10</v>
      </c>
      <c r="D18" s="3">
        <v>-1.7475354026862558E-8</v>
      </c>
      <c r="E18" s="3">
        <v>6.3886556613156165E-7</v>
      </c>
      <c r="F18" s="3">
        <v>3.0981686070613081E-5</v>
      </c>
      <c r="G18" s="3">
        <v>-3.071355620869663E-3</v>
      </c>
      <c r="H18" s="3">
        <v>1.0491040634782776</v>
      </c>
      <c r="J18" s="15" t="s">
        <v>2</v>
      </c>
      <c r="K18" s="3">
        <f>'RGB Mixing'!$H$8</f>
        <v>25</v>
      </c>
      <c r="L18" s="3">
        <f t="shared" si="0"/>
        <v>0.99613091663899034</v>
      </c>
    </row>
    <row r="19" spans="1:12" x14ac:dyDescent="0.25">
      <c r="A19" s="9"/>
    </row>
    <row r="21" spans="1:12" x14ac:dyDescent="0.25">
      <c r="A21" s="3" t="s">
        <v>16</v>
      </c>
    </row>
    <row r="22" spans="1:12" x14ac:dyDescent="0.25">
      <c r="A22" s="8" t="s">
        <v>0</v>
      </c>
      <c r="B22" s="3">
        <f t="array" ref="B22:H22">LINEST(D4:D12,A4:A12^COLUMN(A:F), TRUE, TRUE)</f>
        <v>-8.0215342712654618E-12</v>
      </c>
      <c r="C22" s="3">
        <v>1.8892378963693067E-9</v>
      </c>
      <c r="D22" s="3">
        <v>-1.1020979535403777E-7</v>
      </c>
      <c r="E22" s="3">
        <v>-2.3641904757454564E-6</v>
      </c>
      <c r="F22" s="3">
        <v>1.4985001542978094E-4</v>
      </c>
      <c r="G22" s="3">
        <v>7.1391753063124494E-2</v>
      </c>
      <c r="H22" s="3">
        <v>-1.7402265867204152</v>
      </c>
      <c r="J22" s="8" t="str">
        <f t="shared" ref="J22:K24" si="1">J16</f>
        <v>R</v>
      </c>
      <c r="K22" s="3">
        <f t="shared" si="1"/>
        <v>25</v>
      </c>
      <c r="L22" s="3">
        <f t="shared" si="0"/>
        <v>7.4723528448902288E-2</v>
      </c>
    </row>
    <row r="23" spans="1:12" x14ac:dyDescent="0.25">
      <c r="A23" s="10" t="s">
        <v>1</v>
      </c>
      <c r="B23" s="3">
        <f t="array" ref="B23:H23">LINEST(I4:I12,F4:F12^COLUMN(A:F), TRUE, TRUE)</f>
        <v>2.0597788972494808E-12</v>
      </c>
      <c r="C23" s="3">
        <v>-5.1401493018101649E-10</v>
      </c>
      <c r="D23" s="3">
        <v>2.6432400680215731E-8</v>
      </c>
      <c r="E23" s="3">
        <v>1.7163499290812213E-6</v>
      </c>
      <c r="F23" s="3">
        <v>-2.5751350038656031E-5</v>
      </c>
      <c r="G23" s="3">
        <v>1.787715199731623E-2</v>
      </c>
      <c r="H23" s="3">
        <v>-0.44190233405190238</v>
      </c>
      <c r="J23" s="10" t="str">
        <f t="shared" si="1"/>
        <v>T</v>
      </c>
      <c r="K23" s="3">
        <f t="shared" si="1"/>
        <v>25</v>
      </c>
      <c r="L23" s="3">
        <f t="shared" si="0"/>
        <v>2.1558194919233997E-2</v>
      </c>
    </row>
    <row r="24" spans="1:12" x14ac:dyDescent="0.25">
      <c r="A24" s="15" t="s">
        <v>2</v>
      </c>
      <c r="B24" s="3">
        <f t="array" ref="B24:H24">LINEST(N4:N12,K4:K12^COLUMN(A:F), TRUE, TRUE)</f>
        <v>1.1984612990195679E-12</v>
      </c>
      <c r="C24" s="3">
        <v>-2.6266310288098928E-10</v>
      </c>
      <c r="D24" s="3">
        <v>9.1280247399664592E-9</v>
      </c>
      <c r="E24" s="3">
        <v>1.1874510742444314E-7</v>
      </c>
      <c r="F24" s="3">
        <v>1.1000535485889113E-4</v>
      </c>
      <c r="G24" s="3">
        <v>3.7736391141933272E-2</v>
      </c>
      <c r="H24" s="3">
        <v>-1.023630200700351</v>
      </c>
      <c r="J24" s="15" t="str">
        <f t="shared" si="1"/>
        <v>B</v>
      </c>
      <c r="K24" s="3">
        <f t="shared" si="1"/>
        <v>25</v>
      </c>
      <c r="L24" s="3">
        <f t="shared" si="0"/>
        <v>-8.3185246711472427E-3</v>
      </c>
    </row>
  </sheetData>
  <sheetProtection selectLockedCells="1" selectUn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2"/>
  <sheetViews>
    <sheetView topLeftCell="D1" workbookViewId="0">
      <selection activeCell="J8" sqref="J8"/>
    </sheetView>
  </sheetViews>
  <sheetFormatPr defaultColWidth="14.85546875" defaultRowHeight="15" x14ac:dyDescent="0.25"/>
  <cols>
    <col min="1" max="16384" width="14.85546875" style="48"/>
  </cols>
  <sheetData>
    <row r="1" spans="1:11" x14ac:dyDescent="0.25">
      <c r="A1" s="48" t="s">
        <v>102</v>
      </c>
      <c r="B1" s="48" t="s">
        <v>103</v>
      </c>
      <c r="C1" s="48" t="s">
        <v>104</v>
      </c>
      <c r="D1" s="48" t="s">
        <v>105</v>
      </c>
      <c r="E1" s="48" t="s">
        <v>106</v>
      </c>
      <c r="F1" s="48" t="s">
        <v>107</v>
      </c>
      <c r="I1" s="48" t="s">
        <v>108</v>
      </c>
      <c r="J1" s="48" t="s">
        <v>106</v>
      </c>
      <c r="K1" s="48" t="s">
        <v>107</v>
      </c>
    </row>
    <row r="2" spans="1:11" x14ac:dyDescent="0.25">
      <c r="A2" s="48">
        <v>360</v>
      </c>
      <c r="B2" s="48">
        <v>1.2990000000000001E-4</v>
      </c>
      <c r="C2" s="48">
        <v>3.9169999999999999E-6</v>
      </c>
      <c r="D2" s="48">
        <v>6.0610000000000004E-4</v>
      </c>
      <c r="E2" s="48">
        <f t="shared" ref="E2:E65" si="0">B2/($B2+$C2+$D2)</f>
        <v>0.17556023175572394</v>
      </c>
      <c r="F2" s="48">
        <f t="shared" ref="F2:F65" si="1">C2/($B2+$C2+$D2)</f>
        <v>5.2938370114485808E-3</v>
      </c>
      <c r="J2">
        <v>0.73469002325828081</v>
      </c>
      <c r="K2">
        <v>0.26530997674171924</v>
      </c>
    </row>
    <row r="3" spans="1:11" x14ac:dyDescent="0.25">
      <c r="A3" s="48">
        <v>361</v>
      </c>
      <c r="B3" s="48">
        <v>1.45847E-4</v>
      </c>
      <c r="C3" s="48">
        <v>4.3935810000000003E-6</v>
      </c>
      <c r="D3" s="48">
        <v>6.8087919999999997E-4</v>
      </c>
      <c r="E3" s="48">
        <f t="shared" si="0"/>
        <v>0.17548252771040712</v>
      </c>
      <c r="F3" s="48">
        <f t="shared" si="1"/>
        <v>5.2863391059152281E-3</v>
      </c>
      <c r="J3">
        <v>0.17333686548078087</v>
      </c>
      <c r="K3">
        <v>4.7967434472668919E-3</v>
      </c>
    </row>
    <row r="4" spans="1:11" x14ac:dyDescent="0.25">
      <c r="A4" s="48">
        <v>362</v>
      </c>
      <c r="B4" s="48">
        <v>1.6380210000000001E-4</v>
      </c>
      <c r="C4" s="48">
        <v>4.9296040000000003E-6</v>
      </c>
      <c r="D4" s="48">
        <v>7.6514560000000005E-4</v>
      </c>
      <c r="E4" s="48">
        <f t="shared" si="0"/>
        <v>0.17540002235668423</v>
      </c>
      <c r="F4" s="48">
        <f t="shared" si="1"/>
        <v>5.2786420431093373E-3</v>
      </c>
    </row>
    <row r="5" spans="1:11" x14ac:dyDescent="0.25">
      <c r="A5" s="48">
        <v>363</v>
      </c>
      <c r="B5" s="48">
        <v>1.8400369999999999E-4</v>
      </c>
      <c r="C5" s="48">
        <v>5.5321360000000001E-6</v>
      </c>
      <c r="D5" s="48">
        <v>8.6001239999999998E-4</v>
      </c>
      <c r="E5" s="48">
        <f t="shared" si="0"/>
        <v>0.17531704945860155</v>
      </c>
      <c r="F5" s="48">
        <f t="shared" si="1"/>
        <v>5.2709687942346277E-3</v>
      </c>
    </row>
    <row r="6" spans="1:11" x14ac:dyDescent="0.25">
      <c r="A6" s="48">
        <v>364</v>
      </c>
      <c r="B6" s="48">
        <v>2.066902E-4</v>
      </c>
      <c r="C6" s="48">
        <v>6.2082449999999999E-6</v>
      </c>
      <c r="D6" s="48">
        <v>9.6659280000000001E-4</v>
      </c>
      <c r="E6" s="48">
        <f t="shared" si="0"/>
        <v>0.17523673946388638</v>
      </c>
      <c r="F6" s="48">
        <f t="shared" si="1"/>
        <v>5.2634939227548059E-3</v>
      </c>
    </row>
    <row r="7" spans="1:11" x14ac:dyDescent="0.25">
      <c r="A7" s="48">
        <v>365</v>
      </c>
      <c r="B7" s="48">
        <v>2.321E-4</v>
      </c>
      <c r="C7" s="48">
        <v>6.9650000000000002E-6</v>
      </c>
      <c r="D7" s="48">
        <v>1.0859999999999999E-3</v>
      </c>
      <c r="E7" s="48">
        <f t="shared" si="0"/>
        <v>0.17516121850626198</v>
      </c>
      <c r="F7" s="48">
        <f t="shared" si="1"/>
        <v>5.2563459151060525E-3</v>
      </c>
    </row>
    <row r="8" spans="1:11" x14ac:dyDescent="0.25">
      <c r="A8" s="48">
        <v>366</v>
      </c>
      <c r="B8" s="48">
        <v>2.60728E-4</v>
      </c>
      <c r="C8" s="48">
        <v>7.8132190000000003E-6</v>
      </c>
      <c r="D8" s="48">
        <v>1.2205860000000001E-3</v>
      </c>
      <c r="E8" s="48">
        <f t="shared" si="0"/>
        <v>0.17508779416112466</v>
      </c>
      <c r="F8" s="48">
        <f t="shared" si="1"/>
        <v>5.246844527660199E-3</v>
      </c>
    </row>
    <row r="9" spans="1:11" x14ac:dyDescent="0.25">
      <c r="A9" s="48">
        <v>367</v>
      </c>
      <c r="B9" s="48">
        <v>2.9307500000000001E-4</v>
      </c>
      <c r="C9" s="48">
        <v>8.767336E-6</v>
      </c>
      <c r="D9" s="48">
        <v>1.372729E-3</v>
      </c>
      <c r="E9" s="48">
        <f t="shared" si="0"/>
        <v>0.17501493886791336</v>
      </c>
      <c r="F9" s="48">
        <f t="shared" si="1"/>
        <v>5.2355703286682794E-3</v>
      </c>
    </row>
    <row r="10" spans="1:11" x14ac:dyDescent="0.25">
      <c r="A10" s="48">
        <v>368</v>
      </c>
      <c r="B10" s="48">
        <v>3.2938800000000001E-4</v>
      </c>
      <c r="C10" s="48">
        <v>9.8398440000000006E-6</v>
      </c>
      <c r="D10" s="48">
        <v>1.543579E-3</v>
      </c>
      <c r="E10" s="48">
        <f t="shared" si="0"/>
        <v>0.17494518943866769</v>
      </c>
      <c r="F10" s="48">
        <f t="shared" si="1"/>
        <v>5.2261569110803596E-3</v>
      </c>
    </row>
    <row r="11" spans="1:11" x14ac:dyDescent="0.25">
      <c r="A11" s="48">
        <v>369</v>
      </c>
      <c r="B11" s="48">
        <v>3.69914E-4</v>
      </c>
      <c r="C11" s="48">
        <v>1.104323E-5</v>
      </c>
      <c r="D11" s="48">
        <v>1.734286E-3</v>
      </c>
      <c r="E11" s="48">
        <f t="shared" si="0"/>
        <v>0.17488012477884163</v>
      </c>
      <c r="F11" s="48">
        <f t="shared" si="1"/>
        <v>5.2207849401791958E-3</v>
      </c>
    </row>
    <row r="12" spans="1:11" x14ac:dyDescent="0.25">
      <c r="A12" s="48">
        <v>370</v>
      </c>
      <c r="B12" s="48">
        <v>4.149E-4</v>
      </c>
      <c r="C12" s="48">
        <v>1.239E-5</v>
      </c>
      <c r="D12" s="48">
        <v>1.946E-3</v>
      </c>
      <c r="E12" s="48">
        <f t="shared" si="0"/>
        <v>0.17482060767963459</v>
      </c>
      <c r="F12" s="48">
        <f t="shared" si="1"/>
        <v>5.2206009379384731E-3</v>
      </c>
    </row>
    <row r="13" spans="1:11" x14ac:dyDescent="0.25">
      <c r="A13" s="48">
        <v>371</v>
      </c>
      <c r="B13" s="48">
        <v>4.6415870000000002E-4</v>
      </c>
      <c r="C13" s="48">
        <v>1.388641E-5</v>
      </c>
      <c r="D13" s="48">
        <v>2.1777770000000001E-3</v>
      </c>
      <c r="E13" s="48">
        <f t="shared" si="0"/>
        <v>0.17477025221391806</v>
      </c>
      <c r="F13" s="48">
        <f t="shared" si="1"/>
        <v>5.2286672167210779E-3</v>
      </c>
    </row>
    <row r="14" spans="1:11" x14ac:dyDescent="0.25">
      <c r="A14" s="48">
        <v>372</v>
      </c>
      <c r="B14" s="48">
        <v>5.1898600000000003E-4</v>
      </c>
      <c r="C14" s="48">
        <v>1.555728E-5</v>
      </c>
      <c r="D14" s="48">
        <v>2.4358090000000002E-3</v>
      </c>
      <c r="E14" s="48">
        <f t="shared" si="0"/>
        <v>0.17472203667371064</v>
      </c>
      <c r="F14" s="48">
        <f t="shared" si="1"/>
        <v>5.2375201772363513E-3</v>
      </c>
    </row>
    <row r="15" spans="1:11" x14ac:dyDescent="0.25">
      <c r="A15" s="48">
        <v>373</v>
      </c>
      <c r="B15" s="48">
        <v>5.8185400000000003E-4</v>
      </c>
      <c r="C15" s="48">
        <v>1.7442959999999999E-5</v>
      </c>
      <c r="D15" s="48">
        <v>2.7319530000000001E-3</v>
      </c>
      <c r="E15" s="48">
        <f t="shared" si="0"/>
        <v>0.17466536795095375</v>
      </c>
      <c r="F15" s="48">
        <f t="shared" si="1"/>
        <v>5.236160663248458E-3</v>
      </c>
    </row>
    <row r="16" spans="1:11" x14ac:dyDescent="0.25">
      <c r="A16" s="48">
        <v>374</v>
      </c>
      <c r="B16" s="48">
        <v>6.552347E-4</v>
      </c>
      <c r="C16" s="48">
        <v>1.958375E-5</v>
      </c>
      <c r="D16" s="48">
        <v>3.0780640000000001E-3</v>
      </c>
      <c r="E16" s="48">
        <f t="shared" si="0"/>
        <v>0.17459505026596289</v>
      </c>
      <c r="F16" s="48">
        <f t="shared" si="1"/>
        <v>5.2183222525395111E-3</v>
      </c>
    </row>
    <row r="17" spans="1:6" x14ac:dyDescent="0.25">
      <c r="A17" s="48">
        <v>375</v>
      </c>
      <c r="B17" s="48">
        <v>7.4160000000000003E-4</v>
      </c>
      <c r="C17" s="48">
        <v>2.2019999999999999E-5</v>
      </c>
      <c r="D17" s="48">
        <v>3.4859999999999999E-3</v>
      </c>
      <c r="E17" s="48">
        <f t="shared" si="0"/>
        <v>0.17450972086916008</v>
      </c>
      <c r="F17" s="48">
        <f t="shared" si="1"/>
        <v>5.1816397701441542E-3</v>
      </c>
    </row>
    <row r="18" spans="1:6" x14ac:dyDescent="0.25">
      <c r="A18" s="48">
        <v>376</v>
      </c>
      <c r="B18" s="48">
        <v>8.4502959999999995E-4</v>
      </c>
      <c r="C18" s="48">
        <v>2.4839649999999999E-5</v>
      </c>
      <c r="D18" s="48">
        <v>3.9752269999999996E-3</v>
      </c>
      <c r="E18" s="48">
        <f t="shared" si="0"/>
        <v>0.17440924935185756</v>
      </c>
      <c r="F18" s="48">
        <f t="shared" si="1"/>
        <v>5.1267608976808248E-3</v>
      </c>
    </row>
    <row r="19" spans="1:6" x14ac:dyDescent="0.25">
      <c r="A19" s="48">
        <v>377</v>
      </c>
      <c r="B19" s="48">
        <v>9.645268E-4</v>
      </c>
      <c r="C19" s="48">
        <v>2.8041259999999999E-5</v>
      </c>
      <c r="D19" s="48">
        <v>4.5408799999999997E-3</v>
      </c>
      <c r="E19" s="48">
        <f t="shared" si="0"/>
        <v>0.17430845822378607</v>
      </c>
      <c r="F19" s="48">
        <f t="shared" si="1"/>
        <v>5.0675925202413484E-3</v>
      </c>
    </row>
    <row r="20" spans="1:6" x14ac:dyDescent="0.25">
      <c r="A20" s="48">
        <v>378</v>
      </c>
      <c r="B20" s="48">
        <v>1.094949E-3</v>
      </c>
      <c r="C20" s="48">
        <v>3.1531040000000003E-5</v>
      </c>
      <c r="D20" s="48">
        <v>5.1583200000000001E-3</v>
      </c>
      <c r="E20" s="48">
        <f t="shared" si="0"/>
        <v>0.17422177205816083</v>
      </c>
      <c r="F20" s="48">
        <f t="shared" si="1"/>
        <v>5.0170315362968974E-3</v>
      </c>
    </row>
    <row r="21" spans="1:6" x14ac:dyDescent="0.25">
      <c r="A21" s="48">
        <v>379</v>
      </c>
      <c r="B21" s="48">
        <v>1.2311539999999999E-3</v>
      </c>
      <c r="C21" s="48">
        <v>3.5215210000000002E-5</v>
      </c>
      <c r="D21" s="48">
        <v>5.8029070000000004E-3</v>
      </c>
      <c r="E21" s="48">
        <f t="shared" si="0"/>
        <v>0.17415559435327255</v>
      </c>
      <c r="F21" s="48">
        <f t="shared" si="1"/>
        <v>4.9814449108927942E-3</v>
      </c>
    </row>
    <row r="22" spans="1:6" x14ac:dyDescent="0.25">
      <c r="A22" s="48">
        <v>380</v>
      </c>
      <c r="B22" s="48">
        <v>1.3680000000000001E-3</v>
      </c>
      <c r="C22" s="48">
        <v>3.8999999999999999E-5</v>
      </c>
      <c r="D22" s="48">
        <v>6.4500010000000003E-3</v>
      </c>
      <c r="E22" s="48">
        <f t="shared" si="0"/>
        <v>0.17411223442634155</v>
      </c>
      <c r="F22" s="48">
        <f t="shared" si="1"/>
        <v>4.963725981452719E-3</v>
      </c>
    </row>
    <row r="23" spans="1:6" x14ac:dyDescent="0.25">
      <c r="A23" s="48">
        <v>381</v>
      </c>
      <c r="B23" s="48">
        <v>1.50205E-3</v>
      </c>
      <c r="C23" s="48">
        <v>4.28264E-5</v>
      </c>
      <c r="D23" s="48">
        <v>7.0832159999999998E-3</v>
      </c>
      <c r="E23" s="48">
        <f t="shared" si="0"/>
        <v>0.17408830716741047</v>
      </c>
      <c r="F23" s="48">
        <f t="shared" si="1"/>
        <v>4.9636000652936909E-3</v>
      </c>
    </row>
    <row r="24" spans="1:6" x14ac:dyDescent="0.25">
      <c r="A24" s="48">
        <v>382</v>
      </c>
      <c r="B24" s="48">
        <v>1.642328E-3</v>
      </c>
      <c r="C24" s="48">
        <v>4.69146E-5</v>
      </c>
      <c r="D24" s="48">
        <v>7.745488E-3</v>
      </c>
      <c r="E24" s="48">
        <f t="shared" si="0"/>
        <v>0.17407259090153565</v>
      </c>
      <c r="F24" s="48">
        <f t="shared" si="1"/>
        <v>4.9725426182280182E-3</v>
      </c>
    </row>
    <row r="25" spans="1:6" x14ac:dyDescent="0.25">
      <c r="A25" s="48">
        <v>383</v>
      </c>
      <c r="B25" s="48">
        <v>1.8023819999999999E-3</v>
      </c>
      <c r="C25" s="48">
        <v>5.1589599999999998E-5</v>
      </c>
      <c r="D25" s="48">
        <v>8.5011519999999997E-3</v>
      </c>
      <c r="E25" s="48">
        <f t="shared" si="0"/>
        <v>0.17405702429278583</v>
      </c>
      <c r="F25" s="48">
        <f t="shared" si="1"/>
        <v>4.9820361390954327E-3</v>
      </c>
    </row>
    <row r="26" spans="1:6" x14ac:dyDescent="0.25">
      <c r="A26" s="48">
        <v>384</v>
      </c>
      <c r="B26" s="48">
        <v>1.9957569999999999E-3</v>
      </c>
      <c r="C26" s="48">
        <v>5.7176399999999997E-5</v>
      </c>
      <c r="D26" s="48">
        <v>9.4145440000000004E-3</v>
      </c>
      <c r="E26" s="48">
        <f t="shared" si="0"/>
        <v>0.17403627060995994</v>
      </c>
      <c r="F26" s="48">
        <f t="shared" si="1"/>
        <v>4.9859614286224792E-3</v>
      </c>
    </row>
    <row r="27" spans="1:6" x14ac:dyDescent="0.25">
      <c r="A27" s="48">
        <v>385</v>
      </c>
      <c r="B27" s="48">
        <v>2.2360000000000001E-3</v>
      </c>
      <c r="C27" s="48">
        <v>6.3999999999999997E-5</v>
      </c>
      <c r="D27" s="48">
        <v>1.054999E-2</v>
      </c>
      <c r="E27" s="48">
        <f t="shared" si="0"/>
        <v>0.17400791751588912</v>
      </c>
      <c r="F27" s="48">
        <f t="shared" si="1"/>
        <v>4.9805486229950371E-3</v>
      </c>
    </row>
    <row r="28" spans="1:6" x14ac:dyDescent="0.25">
      <c r="A28" s="48">
        <v>386</v>
      </c>
      <c r="B28" s="48">
        <v>2.5353849999999998E-3</v>
      </c>
      <c r="C28" s="48">
        <v>7.2344209999999998E-5</v>
      </c>
      <c r="D28" s="48">
        <v>1.19658E-2</v>
      </c>
      <c r="E28" s="48">
        <f t="shared" si="0"/>
        <v>0.17397192975468706</v>
      </c>
      <c r="F28" s="48">
        <f t="shared" si="1"/>
        <v>4.9640830959709588E-3</v>
      </c>
    </row>
    <row r="29" spans="1:6" x14ac:dyDescent="0.25">
      <c r="A29" s="48">
        <v>387</v>
      </c>
      <c r="B29" s="48">
        <v>2.8926030000000001E-3</v>
      </c>
      <c r="C29" s="48">
        <v>8.2212239999999995E-5</v>
      </c>
      <c r="D29" s="48">
        <v>1.3655870000000001E-2</v>
      </c>
      <c r="E29" s="48">
        <f t="shared" si="0"/>
        <v>0.17393167859630537</v>
      </c>
      <c r="F29" s="48">
        <f t="shared" si="1"/>
        <v>4.9434066494303984E-3</v>
      </c>
    </row>
    <row r="30" spans="1:6" x14ac:dyDescent="0.25">
      <c r="A30" s="48">
        <v>388</v>
      </c>
      <c r="B30" s="48">
        <v>3.3008289999999999E-3</v>
      </c>
      <c r="C30" s="48">
        <v>9.3508159999999998E-5</v>
      </c>
      <c r="D30" s="48">
        <v>1.5588050000000001E-2</v>
      </c>
      <c r="E30" s="48">
        <f t="shared" si="0"/>
        <v>0.17388903577709977</v>
      </c>
      <c r="F30" s="48">
        <f t="shared" si="1"/>
        <v>4.9260485107501086E-3</v>
      </c>
    </row>
    <row r="31" spans="1:6" x14ac:dyDescent="0.25">
      <c r="A31" s="48">
        <v>389</v>
      </c>
      <c r="B31" s="48">
        <v>3.7532360000000001E-3</v>
      </c>
      <c r="C31" s="48">
        <v>1.061361E-4</v>
      </c>
      <c r="D31" s="48">
        <v>1.773015E-2</v>
      </c>
      <c r="E31" s="48">
        <f t="shared" si="0"/>
        <v>0.1738452561671108</v>
      </c>
      <c r="F31" s="48">
        <f t="shared" si="1"/>
        <v>4.9160930709068349E-3</v>
      </c>
    </row>
    <row r="32" spans="1:6" x14ac:dyDescent="0.25">
      <c r="A32" s="48">
        <v>390</v>
      </c>
      <c r="B32" s="48">
        <v>4.2430000000000002E-3</v>
      </c>
      <c r="C32" s="48">
        <v>1.2E-4</v>
      </c>
      <c r="D32" s="48">
        <v>2.005001E-2</v>
      </c>
      <c r="E32" s="48">
        <f t="shared" si="0"/>
        <v>0.17380077262082802</v>
      </c>
      <c r="F32" s="48">
        <f t="shared" si="1"/>
        <v>4.9154119053734062E-3</v>
      </c>
    </row>
    <row r="33" spans="1:6" x14ac:dyDescent="0.25">
      <c r="A33" s="48">
        <v>391</v>
      </c>
      <c r="B33" s="48">
        <v>4.7623889999999997E-3</v>
      </c>
      <c r="C33" s="48">
        <v>1.3498399999999999E-4</v>
      </c>
      <c r="D33" s="48">
        <v>2.2511360000000001E-2</v>
      </c>
      <c r="E33" s="48">
        <f t="shared" si="0"/>
        <v>0.17375443804717275</v>
      </c>
      <c r="F33" s="48">
        <f t="shared" si="1"/>
        <v>4.9248536953532289E-3</v>
      </c>
    </row>
    <row r="34" spans="1:6" x14ac:dyDescent="0.25">
      <c r="A34" s="48">
        <v>392</v>
      </c>
      <c r="B34" s="48">
        <v>5.3300480000000004E-3</v>
      </c>
      <c r="C34" s="48">
        <v>1.5149200000000001E-4</v>
      </c>
      <c r="D34" s="48">
        <v>2.520288E-2</v>
      </c>
      <c r="E34" s="48">
        <f t="shared" si="0"/>
        <v>0.17370535274904986</v>
      </c>
      <c r="F34" s="48">
        <f t="shared" si="1"/>
        <v>4.9370983710951685E-3</v>
      </c>
    </row>
    <row r="35" spans="1:6" x14ac:dyDescent="0.25">
      <c r="A35" s="48">
        <v>393</v>
      </c>
      <c r="B35" s="48">
        <v>5.9787119999999997E-3</v>
      </c>
      <c r="C35" s="48">
        <v>1.7020800000000001E-4</v>
      </c>
      <c r="D35" s="48">
        <v>2.8279720000000001E-2</v>
      </c>
      <c r="E35" s="48">
        <f t="shared" si="0"/>
        <v>0.17365518940045263</v>
      </c>
      <c r="F35" s="48">
        <f t="shared" si="1"/>
        <v>4.9437909833208631E-3</v>
      </c>
    </row>
    <row r="36" spans="1:6" x14ac:dyDescent="0.25">
      <c r="A36" s="48">
        <v>394</v>
      </c>
      <c r="B36" s="48">
        <v>6.7411169999999996E-3</v>
      </c>
      <c r="C36" s="48">
        <v>1.9181600000000001E-4</v>
      </c>
      <c r="D36" s="48">
        <v>3.1897040000000002E-2</v>
      </c>
      <c r="E36" s="48">
        <f t="shared" si="0"/>
        <v>0.1736060182169068</v>
      </c>
      <c r="F36" s="48">
        <f t="shared" si="1"/>
        <v>4.9398952711092537E-3</v>
      </c>
    </row>
    <row r="37" spans="1:6" x14ac:dyDescent="0.25">
      <c r="A37" s="48">
        <v>395</v>
      </c>
      <c r="B37" s="48">
        <v>7.6499999999999997E-3</v>
      </c>
      <c r="C37" s="48">
        <v>2.1699999999999999E-4</v>
      </c>
      <c r="D37" s="48">
        <v>3.6209999999999999E-2</v>
      </c>
      <c r="E37" s="48">
        <f t="shared" si="0"/>
        <v>0.17355990652721373</v>
      </c>
      <c r="F37" s="48">
        <f t="shared" si="1"/>
        <v>4.9232025773078931E-3</v>
      </c>
    </row>
    <row r="38" spans="1:6" x14ac:dyDescent="0.25">
      <c r="A38" s="48">
        <v>396</v>
      </c>
      <c r="B38" s="48">
        <v>8.7513729999999998E-3</v>
      </c>
      <c r="C38" s="48">
        <v>2.4690669999999999E-4</v>
      </c>
      <c r="D38" s="48">
        <v>4.1437710000000003E-2</v>
      </c>
      <c r="E38" s="48">
        <f t="shared" si="0"/>
        <v>0.17351444974222444</v>
      </c>
      <c r="F38" s="48">
        <f t="shared" si="1"/>
        <v>4.8954467131235848E-3</v>
      </c>
    </row>
    <row r="39" spans="1:6" x14ac:dyDescent="0.25">
      <c r="A39" s="48">
        <v>397</v>
      </c>
      <c r="B39" s="48">
        <v>1.002888E-2</v>
      </c>
      <c r="C39" s="48">
        <v>2.8123999999999998E-4</v>
      </c>
      <c r="D39" s="48">
        <v>4.7503719999999999E-2</v>
      </c>
      <c r="E39" s="48">
        <f t="shared" si="0"/>
        <v>0.17346849820043092</v>
      </c>
      <c r="F39" s="48">
        <f t="shared" si="1"/>
        <v>4.86457913883596E-3</v>
      </c>
    </row>
    <row r="40" spans="1:6" x14ac:dyDescent="0.25">
      <c r="A40" s="48">
        <v>398</v>
      </c>
      <c r="B40" s="48">
        <v>1.14217E-2</v>
      </c>
      <c r="C40" s="48">
        <v>3.1851999999999998E-4</v>
      </c>
      <c r="D40" s="48">
        <v>5.4119880000000002E-2</v>
      </c>
      <c r="E40" s="48">
        <f t="shared" si="0"/>
        <v>0.17342366622583322</v>
      </c>
      <c r="F40" s="48">
        <f t="shared" si="1"/>
        <v>4.8363121222105634E-3</v>
      </c>
    </row>
    <row r="41" spans="1:6" x14ac:dyDescent="0.25">
      <c r="A41" s="48">
        <v>399</v>
      </c>
      <c r="B41" s="48">
        <v>1.286901E-2</v>
      </c>
      <c r="C41" s="48">
        <v>3.5726669999999999E-4</v>
      </c>
      <c r="D41" s="48">
        <v>6.0998030000000002E-2</v>
      </c>
      <c r="E41" s="48">
        <f t="shared" si="0"/>
        <v>0.17337999601685736</v>
      </c>
      <c r="F41" s="48">
        <f t="shared" si="1"/>
        <v>4.8133383238458723E-3</v>
      </c>
    </row>
    <row r="42" spans="1:6" x14ac:dyDescent="0.25">
      <c r="A42" s="48">
        <v>400</v>
      </c>
      <c r="B42" s="48">
        <v>1.431E-2</v>
      </c>
      <c r="C42" s="48">
        <v>3.9599999999999998E-4</v>
      </c>
      <c r="D42" s="48">
        <v>6.7850010000000002E-2</v>
      </c>
      <c r="E42" s="48">
        <f t="shared" si="0"/>
        <v>0.17333686548078087</v>
      </c>
      <c r="F42" s="48">
        <f t="shared" si="1"/>
        <v>4.7967434472668919E-3</v>
      </c>
    </row>
    <row r="43" spans="1:6" x14ac:dyDescent="0.25">
      <c r="A43" s="48">
        <v>401</v>
      </c>
      <c r="B43" s="48">
        <v>1.5704429999999998E-2</v>
      </c>
      <c r="C43" s="48">
        <v>4.337147E-4</v>
      </c>
      <c r="D43" s="48">
        <v>7.4486319999999995E-2</v>
      </c>
      <c r="E43" s="48">
        <f t="shared" si="0"/>
        <v>0.17329128565876098</v>
      </c>
      <c r="F43" s="48">
        <f t="shared" si="1"/>
        <v>4.785845648145385E-3</v>
      </c>
    </row>
    <row r="44" spans="1:6" x14ac:dyDescent="0.25">
      <c r="A44" s="48">
        <v>402</v>
      </c>
      <c r="B44" s="48">
        <v>1.714744E-2</v>
      </c>
      <c r="C44" s="48">
        <v>4.73024E-4</v>
      </c>
      <c r="D44" s="48">
        <v>8.1361559999999999E-2</v>
      </c>
      <c r="E44" s="48">
        <f t="shared" si="0"/>
        <v>0.17323792045311176</v>
      </c>
      <c r="F44" s="48">
        <f t="shared" si="1"/>
        <v>4.7788879322168635E-3</v>
      </c>
    </row>
    <row r="45" spans="1:6" x14ac:dyDescent="0.25">
      <c r="A45" s="48">
        <v>403</v>
      </c>
      <c r="B45" s="48">
        <v>1.8781220000000001E-2</v>
      </c>
      <c r="C45" s="48">
        <v>5.1787600000000001E-4</v>
      </c>
      <c r="D45" s="48">
        <v>8.9153640000000006E-2</v>
      </c>
      <c r="E45" s="48">
        <f t="shared" si="0"/>
        <v>0.1731742387762352</v>
      </c>
      <c r="F45" s="48">
        <f t="shared" si="1"/>
        <v>4.7751307998352387E-3</v>
      </c>
    </row>
    <row r="46" spans="1:6" x14ac:dyDescent="0.25">
      <c r="A46" s="48">
        <v>404</v>
      </c>
      <c r="B46" s="48">
        <v>2.0748010000000001E-2</v>
      </c>
      <c r="C46" s="48">
        <v>5.7221870000000001E-4</v>
      </c>
      <c r="D46" s="48">
        <v>9.854048E-2</v>
      </c>
      <c r="E46" s="48">
        <f t="shared" si="0"/>
        <v>0.17310101220851534</v>
      </c>
      <c r="F46" s="48">
        <f t="shared" si="1"/>
        <v>4.7740306744907474E-3</v>
      </c>
    </row>
    <row r="47" spans="1:6" x14ac:dyDescent="0.25">
      <c r="A47" s="48">
        <v>405</v>
      </c>
      <c r="B47" s="48">
        <v>2.3189999999999999E-2</v>
      </c>
      <c r="C47" s="48">
        <v>6.4000000000000005E-4</v>
      </c>
      <c r="D47" s="48">
        <v>0.11020000000000001</v>
      </c>
      <c r="E47" s="48">
        <f t="shared" si="0"/>
        <v>0.17302096545549503</v>
      </c>
      <c r="F47" s="48">
        <f t="shared" si="1"/>
        <v>4.775050361859285E-3</v>
      </c>
    </row>
    <row r="48" spans="1:6" x14ac:dyDescent="0.25">
      <c r="A48" s="48">
        <v>406</v>
      </c>
      <c r="B48" s="48">
        <v>2.6207359999999999E-2</v>
      </c>
      <c r="C48" s="48">
        <v>7.2455999999999996E-4</v>
      </c>
      <c r="D48" s="48">
        <v>0.1246133</v>
      </c>
      <c r="E48" s="48">
        <f t="shared" si="0"/>
        <v>0.17293425685085945</v>
      </c>
      <c r="F48" s="48">
        <f t="shared" si="1"/>
        <v>4.7811471717814661E-3</v>
      </c>
    </row>
    <row r="49" spans="1:6" x14ac:dyDescent="0.25">
      <c r="A49" s="48">
        <v>407</v>
      </c>
      <c r="B49" s="48">
        <v>2.978248E-2</v>
      </c>
      <c r="C49" s="48">
        <v>8.2549999999999995E-4</v>
      </c>
      <c r="D49" s="48">
        <v>0.14170170000000001</v>
      </c>
      <c r="E49" s="48">
        <f t="shared" si="0"/>
        <v>0.17284275613534886</v>
      </c>
      <c r="F49" s="48">
        <f t="shared" si="1"/>
        <v>4.790792949067051E-3</v>
      </c>
    </row>
    <row r="50" spans="1:6" x14ac:dyDescent="0.25">
      <c r="A50" s="48">
        <v>408</v>
      </c>
      <c r="B50" s="48">
        <v>3.3880920000000002E-2</v>
      </c>
      <c r="C50" s="48">
        <v>9.4116000000000002E-4</v>
      </c>
      <c r="D50" s="48">
        <v>0.16130349999999999</v>
      </c>
      <c r="E50" s="48">
        <f t="shared" si="0"/>
        <v>0.17275115260334731</v>
      </c>
      <c r="F50" s="48">
        <f t="shared" si="1"/>
        <v>4.7987620992631357E-3</v>
      </c>
    </row>
    <row r="51" spans="1:6" x14ac:dyDescent="0.25">
      <c r="A51" s="48">
        <v>409</v>
      </c>
      <c r="B51" s="48">
        <v>3.8468240000000001E-2</v>
      </c>
      <c r="C51" s="48">
        <v>1.06988E-3</v>
      </c>
      <c r="D51" s="48">
        <v>0.1832568</v>
      </c>
      <c r="E51" s="48">
        <f t="shared" si="0"/>
        <v>0.17266210558122241</v>
      </c>
      <c r="F51" s="48">
        <f t="shared" si="1"/>
        <v>4.8020843563219484E-3</v>
      </c>
    </row>
    <row r="52" spans="1:6" x14ac:dyDescent="0.25">
      <c r="A52" s="48">
        <v>410</v>
      </c>
      <c r="B52" s="48">
        <v>4.351E-2</v>
      </c>
      <c r="C52" s="48">
        <v>1.2099999999999999E-3</v>
      </c>
      <c r="D52" s="48">
        <v>0.2074</v>
      </c>
      <c r="E52" s="48">
        <f t="shared" si="0"/>
        <v>0.17257655084880216</v>
      </c>
      <c r="F52" s="48">
        <f t="shared" si="1"/>
        <v>4.7993019197207672E-3</v>
      </c>
    </row>
    <row r="53" spans="1:6" x14ac:dyDescent="0.25">
      <c r="A53" s="48">
        <v>411</v>
      </c>
      <c r="B53" s="48">
        <v>4.89956E-2</v>
      </c>
      <c r="C53" s="48">
        <v>1.362091E-3</v>
      </c>
      <c r="D53" s="48">
        <v>0.23369210000000001</v>
      </c>
      <c r="E53" s="48">
        <f t="shared" si="0"/>
        <v>0.1724894773818017</v>
      </c>
      <c r="F53" s="48">
        <f t="shared" si="1"/>
        <v>4.7952543644012042E-3</v>
      </c>
    </row>
    <row r="54" spans="1:6" x14ac:dyDescent="0.25">
      <c r="A54" s="48">
        <v>412</v>
      </c>
      <c r="B54" s="48">
        <v>5.5022599999999998E-2</v>
      </c>
      <c r="C54" s="48">
        <v>1.530752E-3</v>
      </c>
      <c r="D54" s="48">
        <v>0.26261139999999999</v>
      </c>
      <c r="E54" s="48">
        <f t="shared" si="0"/>
        <v>0.1723956033841732</v>
      </c>
      <c r="F54" s="48">
        <f t="shared" si="1"/>
        <v>4.7961185889349089E-3</v>
      </c>
    </row>
    <row r="55" spans="1:6" x14ac:dyDescent="0.25">
      <c r="A55" s="48">
        <v>413</v>
      </c>
      <c r="B55" s="48">
        <v>6.1718799999999997E-2</v>
      </c>
      <c r="C55" s="48">
        <v>1.7203679999999999E-3</v>
      </c>
      <c r="D55" s="48">
        <v>0.2947746</v>
      </c>
      <c r="E55" s="48">
        <f t="shared" si="0"/>
        <v>0.17229600175501908</v>
      </c>
      <c r="F55" s="48">
        <f t="shared" si="1"/>
        <v>4.802629473471271E-3</v>
      </c>
    </row>
    <row r="56" spans="1:6" x14ac:dyDescent="0.25">
      <c r="A56" s="48">
        <v>414</v>
      </c>
      <c r="B56" s="48">
        <v>6.9211999999999996E-2</v>
      </c>
      <c r="C56" s="48">
        <v>1.9353230000000001E-3</v>
      </c>
      <c r="D56" s="48">
        <v>0.3307985</v>
      </c>
      <c r="E56" s="48">
        <f t="shared" si="0"/>
        <v>0.17219236036195854</v>
      </c>
      <c r="F56" s="48">
        <f t="shared" si="1"/>
        <v>4.814885214020498E-3</v>
      </c>
    </row>
    <row r="57" spans="1:6" x14ac:dyDescent="0.25">
      <c r="A57" s="48">
        <v>415</v>
      </c>
      <c r="B57" s="48">
        <v>7.7630000000000005E-2</v>
      </c>
      <c r="C57" s="48">
        <v>2.1800000000000001E-3</v>
      </c>
      <c r="D57" s="48">
        <v>0.37130000000000002</v>
      </c>
      <c r="E57" s="48">
        <f t="shared" si="0"/>
        <v>0.17208663075524816</v>
      </c>
      <c r="F57" s="48">
        <f t="shared" si="1"/>
        <v>4.8325242180399458E-3</v>
      </c>
    </row>
    <row r="58" spans="1:6" x14ac:dyDescent="0.25">
      <c r="A58" s="48">
        <v>416</v>
      </c>
      <c r="B58" s="48">
        <v>8.6958110000000005E-2</v>
      </c>
      <c r="C58" s="48">
        <v>2.4548E-3</v>
      </c>
      <c r="D58" s="48">
        <v>0.4162091</v>
      </c>
      <c r="E58" s="48">
        <f t="shared" si="0"/>
        <v>0.17198244593822173</v>
      </c>
      <c r="F58" s="48">
        <f t="shared" si="1"/>
        <v>4.8550101685644583E-3</v>
      </c>
    </row>
    <row r="59" spans="1:6" x14ac:dyDescent="0.25">
      <c r="A59" s="48">
        <v>417</v>
      </c>
      <c r="B59" s="48">
        <v>9.7176719999999994E-2</v>
      </c>
      <c r="C59" s="48">
        <v>2.764E-3</v>
      </c>
      <c r="D59" s="48">
        <v>0.46546419999999999</v>
      </c>
      <c r="E59" s="48">
        <f t="shared" si="0"/>
        <v>0.17187101944567443</v>
      </c>
      <c r="F59" s="48">
        <f t="shared" si="1"/>
        <v>4.8885319215121086E-3</v>
      </c>
    </row>
    <row r="60" spans="1:6" x14ac:dyDescent="0.25">
      <c r="A60" s="48">
        <v>418</v>
      </c>
      <c r="B60" s="48">
        <v>0.1084063</v>
      </c>
      <c r="C60" s="48">
        <v>3.1178E-3</v>
      </c>
      <c r="D60" s="48">
        <v>0.51969480000000001</v>
      </c>
      <c r="E60" s="48">
        <f t="shared" si="0"/>
        <v>0.17174121370573661</v>
      </c>
      <c r="F60" s="48">
        <f t="shared" si="1"/>
        <v>4.9393324566168722E-3</v>
      </c>
    </row>
    <row r="61" spans="1:6" x14ac:dyDescent="0.25">
      <c r="A61" s="48">
        <v>419</v>
      </c>
      <c r="B61" s="48">
        <v>0.12076720000000001</v>
      </c>
      <c r="C61" s="48">
        <v>3.5263999999999998E-3</v>
      </c>
      <c r="D61" s="48">
        <v>0.57953030000000005</v>
      </c>
      <c r="E61" s="48">
        <f t="shared" si="0"/>
        <v>0.17158723936484679</v>
      </c>
      <c r="F61" s="48">
        <f t="shared" si="1"/>
        <v>5.0103442068392384E-3</v>
      </c>
    </row>
    <row r="62" spans="1:6" x14ac:dyDescent="0.25">
      <c r="A62" s="48">
        <v>420</v>
      </c>
      <c r="B62" s="48">
        <v>0.13438</v>
      </c>
      <c r="C62" s="48">
        <v>4.0000000000000001E-3</v>
      </c>
      <c r="D62" s="48">
        <v>0.64559999999999995</v>
      </c>
      <c r="E62" s="48">
        <f t="shared" si="0"/>
        <v>0.17140743386310878</v>
      </c>
      <c r="F62" s="48">
        <f t="shared" si="1"/>
        <v>5.1021709737493308E-3</v>
      </c>
    </row>
    <row r="63" spans="1:6" x14ac:dyDescent="0.25">
      <c r="A63" s="48">
        <v>421</v>
      </c>
      <c r="B63" s="48">
        <v>0.1493582</v>
      </c>
      <c r="C63" s="48">
        <v>4.54624E-3</v>
      </c>
      <c r="D63" s="48">
        <v>0.71848380000000001</v>
      </c>
      <c r="E63" s="48">
        <f t="shared" si="0"/>
        <v>0.17120611346159365</v>
      </c>
      <c r="F63" s="48">
        <f t="shared" si="1"/>
        <v>5.2112577766981359E-3</v>
      </c>
    </row>
    <row r="64" spans="1:6" x14ac:dyDescent="0.25">
      <c r="A64" s="48">
        <v>422</v>
      </c>
      <c r="B64" s="48">
        <v>0.16539570000000001</v>
      </c>
      <c r="C64" s="48">
        <v>5.1593200000000002E-3</v>
      </c>
      <c r="D64" s="48">
        <v>0.79671329999999996</v>
      </c>
      <c r="E64" s="48">
        <f t="shared" si="0"/>
        <v>0.17099257422180436</v>
      </c>
      <c r="F64" s="48">
        <f t="shared" si="1"/>
        <v>5.3339077620158182E-3</v>
      </c>
    </row>
    <row r="65" spans="1:6" x14ac:dyDescent="0.25">
      <c r="A65" s="48">
        <v>423</v>
      </c>
      <c r="B65" s="48">
        <v>0.18198310000000001</v>
      </c>
      <c r="C65" s="48">
        <v>5.8292800000000001E-3</v>
      </c>
      <c r="D65" s="48">
        <v>0.87784589999999996</v>
      </c>
      <c r="E65" s="48">
        <f t="shared" si="0"/>
        <v>0.17077059636790887</v>
      </c>
      <c r="F65" s="48">
        <f t="shared" si="1"/>
        <v>5.470121247497837E-3</v>
      </c>
    </row>
    <row r="66" spans="1:6" x14ac:dyDescent="0.25">
      <c r="A66" s="48">
        <v>424</v>
      </c>
      <c r="B66" s="48">
        <v>0.19861100000000001</v>
      </c>
      <c r="C66" s="48">
        <v>6.5461599999999997E-3</v>
      </c>
      <c r="D66" s="48">
        <v>0.95943900000000004</v>
      </c>
      <c r="E66" s="48">
        <f t="shared" ref="E66:E129" si="2">B66/($B66+$C66+$D66)</f>
        <v>0.17054066192352893</v>
      </c>
      <c r="F66" s="48">
        <f t="shared" ref="F66:F129" si="3">C66/($B66+$C66+$D66)</f>
        <v>5.6209699334746214E-3</v>
      </c>
    </row>
    <row r="67" spans="1:6" x14ac:dyDescent="0.25">
      <c r="A67" s="48">
        <v>425</v>
      </c>
      <c r="B67" s="48">
        <v>0.21476999999999999</v>
      </c>
      <c r="C67" s="48">
        <v>7.3000000000000001E-3</v>
      </c>
      <c r="D67" s="48">
        <v>1.0390501000000001</v>
      </c>
      <c r="E67" s="48">
        <f t="shared" si="2"/>
        <v>0.17030098877973635</v>
      </c>
      <c r="F67" s="48">
        <f t="shared" si="3"/>
        <v>5.7885049964709941E-3</v>
      </c>
    </row>
    <row r="68" spans="1:6" x14ac:dyDescent="0.25">
      <c r="A68" s="48">
        <v>426</v>
      </c>
      <c r="B68" s="48">
        <v>0.2301868</v>
      </c>
      <c r="C68" s="48">
        <v>8.0865069999999997E-3</v>
      </c>
      <c r="D68" s="48">
        <v>1.1153673</v>
      </c>
      <c r="E68" s="48">
        <f t="shared" si="2"/>
        <v>0.17005015866814935</v>
      </c>
      <c r="F68" s="48">
        <f t="shared" si="3"/>
        <v>5.973895107891071E-3</v>
      </c>
    </row>
    <row r="69" spans="1:6" x14ac:dyDescent="0.25">
      <c r="A69" s="48">
        <v>427</v>
      </c>
      <c r="B69" s="48">
        <v>0.24487970000000001</v>
      </c>
      <c r="C69" s="48">
        <v>8.9087200000000002E-3</v>
      </c>
      <c r="D69" s="48">
        <v>1.1884971</v>
      </c>
      <c r="E69" s="48">
        <f t="shared" si="2"/>
        <v>0.16978586875086982</v>
      </c>
      <c r="F69" s="48">
        <f t="shared" si="3"/>
        <v>6.1768074881594871E-3</v>
      </c>
    </row>
    <row r="70" spans="1:6" x14ac:dyDescent="0.25">
      <c r="A70" s="48">
        <v>428</v>
      </c>
      <c r="B70" s="48">
        <v>0.25877729999999999</v>
      </c>
      <c r="C70" s="48">
        <v>9.7676800000000008E-3</v>
      </c>
      <c r="D70" s="48">
        <v>1.2581233000000001</v>
      </c>
      <c r="E70" s="48">
        <f t="shared" si="2"/>
        <v>0.16950460253225408</v>
      </c>
      <c r="F70" s="48">
        <f t="shared" si="3"/>
        <v>6.3980369068780294E-3</v>
      </c>
    </row>
    <row r="71" spans="1:6" x14ac:dyDescent="0.25">
      <c r="A71" s="48">
        <v>429</v>
      </c>
      <c r="B71" s="48">
        <v>0.27180789999999999</v>
      </c>
      <c r="C71" s="48">
        <v>1.0664430000000001E-2</v>
      </c>
      <c r="D71" s="48">
        <v>1.3239296</v>
      </c>
      <c r="E71" s="48">
        <f t="shared" si="2"/>
        <v>0.16920292171212717</v>
      </c>
      <c r="F71" s="48">
        <f t="shared" si="3"/>
        <v>6.6387059183874364E-3</v>
      </c>
    </row>
    <row r="72" spans="1:6" x14ac:dyDescent="0.25">
      <c r="A72" s="48">
        <v>430</v>
      </c>
      <c r="B72" s="48">
        <v>0.28389999999999999</v>
      </c>
      <c r="C72" s="48">
        <v>1.1599999999999999E-2</v>
      </c>
      <c r="D72" s="48">
        <v>1.3855999999999999</v>
      </c>
      <c r="E72" s="48">
        <f t="shared" si="2"/>
        <v>0.16887752067098924</v>
      </c>
      <c r="F72" s="48">
        <f t="shared" si="3"/>
        <v>6.900243887930522E-3</v>
      </c>
    </row>
    <row r="73" spans="1:6" x14ac:dyDescent="0.25">
      <c r="A73" s="48">
        <v>431</v>
      </c>
      <c r="B73" s="48">
        <v>0.29494379999999998</v>
      </c>
      <c r="C73" s="48">
        <v>1.257317E-2</v>
      </c>
      <c r="D73" s="48">
        <v>1.4426352</v>
      </c>
      <c r="E73" s="48">
        <f t="shared" si="2"/>
        <v>0.16852466034424879</v>
      </c>
      <c r="F73" s="48">
        <f t="shared" si="3"/>
        <v>7.1840438880237485E-3</v>
      </c>
    </row>
    <row r="74" spans="1:6" x14ac:dyDescent="0.25">
      <c r="A74" s="48">
        <v>432</v>
      </c>
      <c r="B74" s="48">
        <v>0.30489650000000001</v>
      </c>
      <c r="C74" s="48">
        <v>1.358272E-2</v>
      </c>
      <c r="D74" s="48">
        <v>1.4948035</v>
      </c>
      <c r="E74" s="48">
        <f t="shared" si="2"/>
        <v>0.1681461454615307</v>
      </c>
      <c r="F74" s="48">
        <f t="shared" si="3"/>
        <v>7.4906796663236274E-3</v>
      </c>
    </row>
    <row r="75" spans="1:6" x14ac:dyDescent="0.25">
      <c r="A75" s="48">
        <v>433</v>
      </c>
      <c r="B75" s="48">
        <v>0.31378729999999999</v>
      </c>
      <c r="C75" s="48">
        <v>1.4629680000000001E-2</v>
      </c>
      <c r="D75" s="48">
        <v>1.5421902999999999</v>
      </c>
      <c r="E75" s="48">
        <f t="shared" si="2"/>
        <v>0.16774621982653679</v>
      </c>
      <c r="F75" s="48">
        <f t="shared" si="3"/>
        <v>7.8208184884215794E-3</v>
      </c>
    </row>
    <row r="76" spans="1:6" x14ac:dyDescent="0.25">
      <c r="A76" s="48">
        <v>434</v>
      </c>
      <c r="B76" s="48">
        <v>0.32164540000000003</v>
      </c>
      <c r="C76" s="48">
        <v>1.5715090000000001E-2</v>
      </c>
      <c r="D76" s="48">
        <v>1.5848807</v>
      </c>
      <c r="E76" s="48">
        <f t="shared" si="2"/>
        <v>0.16732832574459608</v>
      </c>
      <c r="F76" s="48">
        <f t="shared" si="3"/>
        <v>8.1753996750012423E-3</v>
      </c>
    </row>
    <row r="77" spans="1:6" x14ac:dyDescent="0.25">
      <c r="A77" s="48">
        <v>435</v>
      </c>
      <c r="B77" s="48">
        <v>0.32850000000000001</v>
      </c>
      <c r="C77" s="48">
        <v>1.6840000000000001E-2</v>
      </c>
      <c r="D77" s="48">
        <v>1.62296</v>
      </c>
      <c r="E77" s="48">
        <f t="shared" si="2"/>
        <v>0.16689529035208048</v>
      </c>
      <c r="F77" s="48">
        <f t="shared" si="3"/>
        <v>8.5556063608189809E-3</v>
      </c>
    </row>
    <row r="78" spans="1:6" x14ac:dyDescent="0.25">
      <c r="A78" s="48">
        <v>436</v>
      </c>
      <c r="B78" s="48">
        <v>0.33435130000000002</v>
      </c>
      <c r="C78" s="48">
        <v>1.800736E-2</v>
      </c>
      <c r="D78" s="48">
        <v>1.6564048</v>
      </c>
      <c r="E78" s="48">
        <f t="shared" si="2"/>
        <v>0.16644632713500276</v>
      </c>
      <c r="F78" s="48">
        <f t="shared" si="3"/>
        <v>8.9644004177574996E-3</v>
      </c>
    </row>
    <row r="79" spans="1:6" x14ac:dyDescent="0.25">
      <c r="A79" s="48">
        <v>437</v>
      </c>
      <c r="B79" s="48">
        <v>0.33921010000000001</v>
      </c>
      <c r="C79" s="48">
        <v>1.9214479999999999E-2</v>
      </c>
      <c r="D79" s="48">
        <v>1.6852959000000001</v>
      </c>
      <c r="E79" s="48">
        <f t="shared" si="2"/>
        <v>0.16597675823065589</v>
      </c>
      <c r="F79" s="48">
        <f t="shared" si="3"/>
        <v>9.4017162268687539E-3</v>
      </c>
    </row>
    <row r="80" spans="1:6" x14ac:dyDescent="0.25">
      <c r="A80" s="48">
        <v>438</v>
      </c>
      <c r="B80" s="48">
        <v>0.34312130000000002</v>
      </c>
      <c r="C80" s="48">
        <v>2.045392E-2</v>
      </c>
      <c r="D80" s="48">
        <v>1.7098745</v>
      </c>
      <c r="E80" s="48">
        <f t="shared" si="2"/>
        <v>0.16548329901146577</v>
      </c>
      <c r="F80" s="48">
        <f t="shared" si="3"/>
        <v>9.8646809723459319E-3</v>
      </c>
    </row>
    <row r="81" spans="1:6" x14ac:dyDescent="0.25">
      <c r="A81" s="48">
        <v>439</v>
      </c>
      <c r="B81" s="48">
        <v>0.34612959999999998</v>
      </c>
      <c r="C81" s="48">
        <v>2.171824E-2</v>
      </c>
      <c r="D81" s="48">
        <v>1.7303820999999999</v>
      </c>
      <c r="E81" s="48">
        <f t="shared" si="2"/>
        <v>0.16496266372025936</v>
      </c>
      <c r="F81" s="48">
        <f t="shared" si="3"/>
        <v>1.0350743541482398E-2</v>
      </c>
    </row>
    <row r="82" spans="1:6" x14ac:dyDescent="0.25">
      <c r="A82" s="48">
        <v>440</v>
      </c>
      <c r="B82" s="48">
        <v>0.34827999999999998</v>
      </c>
      <c r="C82" s="48">
        <v>2.3E-2</v>
      </c>
      <c r="D82" s="48">
        <v>1.7470600000000001</v>
      </c>
      <c r="E82" s="48">
        <f t="shared" si="2"/>
        <v>0.16441175637527497</v>
      </c>
      <c r="F82" s="48">
        <f t="shared" si="3"/>
        <v>1.0857558276763881E-2</v>
      </c>
    </row>
    <row r="83" spans="1:6" x14ac:dyDescent="0.25">
      <c r="A83" s="48">
        <v>441</v>
      </c>
      <c r="B83" s="48">
        <v>0.34959990000000002</v>
      </c>
      <c r="C83" s="48">
        <v>2.4294610000000001E-2</v>
      </c>
      <c r="D83" s="48">
        <v>1.7600446000000001</v>
      </c>
      <c r="E83" s="48">
        <f t="shared" si="2"/>
        <v>0.16382843276160772</v>
      </c>
      <c r="F83" s="48">
        <f t="shared" si="3"/>
        <v>1.1384865615964085E-2</v>
      </c>
    </row>
    <row r="84" spans="1:6" x14ac:dyDescent="0.25">
      <c r="A84" s="48">
        <v>442</v>
      </c>
      <c r="B84" s="48">
        <v>0.3501474</v>
      </c>
      <c r="C84" s="48">
        <v>2.5610239999999999E-2</v>
      </c>
      <c r="D84" s="48">
        <v>1.7696232999999999</v>
      </c>
      <c r="E84" s="48">
        <f t="shared" si="2"/>
        <v>0.16320989595442198</v>
      </c>
      <c r="F84" s="48">
        <f t="shared" si="3"/>
        <v>1.1937385814567738E-2</v>
      </c>
    </row>
    <row r="85" spans="1:6" x14ac:dyDescent="0.25">
      <c r="A85" s="48">
        <v>443</v>
      </c>
      <c r="B85" s="48">
        <v>0.35001300000000002</v>
      </c>
      <c r="C85" s="48">
        <v>2.6958570000000001E-2</v>
      </c>
      <c r="D85" s="48">
        <v>1.7762636999999999</v>
      </c>
      <c r="E85" s="48">
        <f t="shared" si="2"/>
        <v>0.16255213950679903</v>
      </c>
      <c r="F85" s="48">
        <f t="shared" si="3"/>
        <v>1.2520029917585367E-2</v>
      </c>
    </row>
    <row r="86" spans="1:6" x14ac:dyDescent="0.25">
      <c r="A86" s="48">
        <v>444</v>
      </c>
      <c r="B86" s="48">
        <v>0.34928700000000001</v>
      </c>
      <c r="C86" s="48">
        <v>2.8351250000000001E-2</v>
      </c>
      <c r="D86" s="48">
        <v>1.7804333999999999</v>
      </c>
      <c r="E86" s="48">
        <f t="shared" si="2"/>
        <v>0.16185143806508925</v>
      </c>
      <c r="F86" s="48">
        <f t="shared" si="3"/>
        <v>1.3137307095434019E-2</v>
      </c>
    </row>
    <row r="87" spans="1:6" x14ac:dyDescent="0.25">
      <c r="A87" s="48">
        <v>445</v>
      </c>
      <c r="B87" s="48">
        <v>0.34805999999999998</v>
      </c>
      <c r="C87" s="48">
        <v>2.98E-2</v>
      </c>
      <c r="D87" s="48">
        <v>1.7826</v>
      </c>
      <c r="E87" s="48">
        <f t="shared" si="2"/>
        <v>0.16110457958027455</v>
      </c>
      <c r="F87" s="48">
        <f t="shared" si="3"/>
        <v>1.3793358821732408E-2</v>
      </c>
    </row>
    <row r="88" spans="1:6" x14ac:dyDescent="0.25">
      <c r="A88" s="48">
        <v>446</v>
      </c>
      <c r="B88" s="48">
        <v>0.3463733</v>
      </c>
      <c r="C88" s="48">
        <v>3.1310829999999998E-2</v>
      </c>
      <c r="D88" s="48">
        <v>1.7829682</v>
      </c>
      <c r="E88" s="48">
        <f t="shared" si="2"/>
        <v>0.16030959501938935</v>
      </c>
      <c r="F88" s="48">
        <f t="shared" si="3"/>
        <v>1.4491378166333682E-2</v>
      </c>
    </row>
    <row r="89" spans="1:6" x14ac:dyDescent="0.25">
      <c r="A89" s="48">
        <v>447</v>
      </c>
      <c r="B89" s="48">
        <v>0.34426240000000002</v>
      </c>
      <c r="C89" s="48">
        <v>3.2883679999999998E-2</v>
      </c>
      <c r="D89" s="48">
        <v>1.7816997999999999</v>
      </c>
      <c r="E89" s="48">
        <f t="shared" si="2"/>
        <v>0.15946594575801773</v>
      </c>
      <c r="F89" s="48">
        <f t="shared" si="3"/>
        <v>1.5232064643725285E-2</v>
      </c>
    </row>
    <row r="90" spans="1:6" x14ac:dyDescent="0.25">
      <c r="A90" s="48">
        <v>448</v>
      </c>
      <c r="B90" s="48">
        <v>0.34180880000000002</v>
      </c>
      <c r="C90" s="48">
        <v>3.4521120000000002E-2</v>
      </c>
      <c r="D90" s="48">
        <v>1.7791982</v>
      </c>
      <c r="E90" s="48">
        <f t="shared" si="2"/>
        <v>0.15857311107590655</v>
      </c>
      <c r="F90" s="48">
        <f t="shared" si="3"/>
        <v>1.6015156415588771E-2</v>
      </c>
    </row>
    <row r="91" spans="1:6" x14ac:dyDescent="0.25">
      <c r="A91" s="48">
        <v>449</v>
      </c>
      <c r="B91" s="48">
        <v>0.33909410000000001</v>
      </c>
      <c r="C91" s="48">
        <v>3.6225710000000001E-2</v>
      </c>
      <c r="D91" s="48">
        <v>1.7758670999999999</v>
      </c>
      <c r="E91" s="48">
        <f t="shared" si="2"/>
        <v>0.15763116557826212</v>
      </c>
      <c r="F91" s="48">
        <f t="shared" si="3"/>
        <v>1.6839870971509401E-2</v>
      </c>
    </row>
    <row r="92" spans="1:6" x14ac:dyDescent="0.25">
      <c r="A92" s="48">
        <v>450</v>
      </c>
      <c r="B92" s="48">
        <v>0.3362</v>
      </c>
      <c r="C92" s="48">
        <v>3.7999999999999999E-2</v>
      </c>
      <c r="D92" s="48">
        <v>1.7721100000000001</v>
      </c>
      <c r="E92" s="48">
        <f t="shared" si="2"/>
        <v>0.15664093257730707</v>
      </c>
      <c r="F92" s="48">
        <f t="shared" si="3"/>
        <v>1.7704804990891342E-2</v>
      </c>
    </row>
    <row r="93" spans="1:6" x14ac:dyDescent="0.25">
      <c r="A93" s="48">
        <v>451</v>
      </c>
      <c r="B93" s="48">
        <v>0.33319769999999999</v>
      </c>
      <c r="C93" s="48">
        <v>3.9846670000000001E-2</v>
      </c>
      <c r="D93" s="48">
        <v>1.7682589</v>
      </c>
      <c r="E93" s="48">
        <f t="shared" si="2"/>
        <v>0.1556050955827476</v>
      </c>
      <c r="F93" s="48">
        <f t="shared" si="3"/>
        <v>1.8608606524007223E-2</v>
      </c>
    </row>
    <row r="94" spans="1:6" x14ac:dyDescent="0.25">
      <c r="A94" s="48">
        <v>452</v>
      </c>
      <c r="B94" s="48">
        <v>0.33004109999999998</v>
      </c>
      <c r="C94" s="48">
        <v>4.1768E-2</v>
      </c>
      <c r="D94" s="48">
        <v>1.7640389999999999</v>
      </c>
      <c r="E94" s="48">
        <f t="shared" si="2"/>
        <v>0.15452461249468066</v>
      </c>
      <c r="F94" s="48">
        <f t="shared" si="3"/>
        <v>1.9555697804539564E-2</v>
      </c>
    </row>
    <row r="95" spans="1:6" x14ac:dyDescent="0.25">
      <c r="A95" s="48">
        <v>453</v>
      </c>
      <c r="B95" s="48">
        <v>0.32663569999999997</v>
      </c>
      <c r="C95" s="48">
        <v>4.3765999999999999E-2</v>
      </c>
      <c r="D95" s="48">
        <v>1.7589437999999999</v>
      </c>
      <c r="E95" s="48">
        <f t="shared" si="2"/>
        <v>0.15339722933643224</v>
      </c>
      <c r="F95" s="48">
        <f t="shared" si="3"/>
        <v>2.0553733529856944E-2</v>
      </c>
    </row>
    <row r="96" spans="1:6" x14ac:dyDescent="0.25">
      <c r="A96" s="48">
        <v>454</v>
      </c>
      <c r="B96" s="48">
        <v>0.32288679999999997</v>
      </c>
      <c r="C96" s="48">
        <v>4.5842670000000002E-2</v>
      </c>
      <c r="D96" s="48">
        <v>1.7524663</v>
      </c>
      <c r="E96" s="48">
        <f t="shared" si="2"/>
        <v>0.15221923622825251</v>
      </c>
      <c r="F96" s="48">
        <f t="shared" si="3"/>
        <v>2.161171102090214E-2</v>
      </c>
    </row>
    <row r="97" spans="1:6" x14ac:dyDescent="0.25">
      <c r="A97" s="48">
        <v>455</v>
      </c>
      <c r="B97" s="48">
        <v>0.31869999999999998</v>
      </c>
      <c r="C97" s="48">
        <v>4.8000000000000001E-2</v>
      </c>
      <c r="D97" s="48">
        <v>1.7441</v>
      </c>
      <c r="E97" s="48">
        <f t="shared" si="2"/>
        <v>0.15098540837597121</v>
      </c>
      <c r="F97" s="48">
        <f t="shared" si="3"/>
        <v>2.2740193291642983E-2</v>
      </c>
    </row>
    <row r="98" spans="1:6" x14ac:dyDescent="0.25">
      <c r="A98" s="48">
        <v>456</v>
      </c>
      <c r="B98" s="48">
        <v>0.3140251</v>
      </c>
      <c r="C98" s="48">
        <v>5.0243679999999999E-2</v>
      </c>
      <c r="D98" s="48">
        <v>1.7335594999999999</v>
      </c>
      <c r="E98" s="48">
        <f t="shared" si="2"/>
        <v>0.14969056475871326</v>
      </c>
      <c r="F98" s="48">
        <f t="shared" si="3"/>
        <v>2.3950330195758446E-2</v>
      </c>
    </row>
    <row r="99" spans="1:6" x14ac:dyDescent="0.25">
      <c r="A99" s="48">
        <v>457</v>
      </c>
      <c r="B99" s="48">
        <v>0.30888399999999999</v>
      </c>
      <c r="C99" s="48">
        <v>5.2573040000000001E-2</v>
      </c>
      <c r="D99" s="48">
        <v>1.7208581000000001</v>
      </c>
      <c r="E99" s="48">
        <f t="shared" si="2"/>
        <v>0.14833681706794871</v>
      </c>
      <c r="F99" s="48">
        <f t="shared" si="3"/>
        <v>2.5247398431728255E-2</v>
      </c>
    </row>
    <row r="100" spans="1:6" x14ac:dyDescent="0.25">
      <c r="A100" s="48">
        <v>458</v>
      </c>
      <c r="B100" s="48">
        <v>0.30329040000000002</v>
      </c>
      <c r="C100" s="48">
        <v>5.4980559999999998E-2</v>
      </c>
      <c r="D100" s="48">
        <v>1.7059369</v>
      </c>
      <c r="E100" s="48">
        <f t="shared" si="2"/>
        <v>0.14692822650137571</v>
      </c>
      <c r="F100" s="48">
        <f t="shared" si="3"/>
        <v>2.6635185857687801E-2</v>
      </c>
    </row>
    <row r="101" spans="1:6" x14ac:dyDescent="0.25">
      <c r="A101" s="48">
        <v>459</v>
      </c>
      <c r="B101" s="48">
        <v>0.29725790000000002</v>
      </c>
      <c r="C101" s="48">
        <v>5.7458719999999998E-2</v>
      </c>
      <c r="D101" s="48">
        <v>1.6887372</v>
      </c>
      <c r="E101" s="48">
        <f t="shared" si="2"/>
        <v>0.14546837177852154</v>
      </c>
      <c r="F101" s="48">
        <f t="shared" si="3"/>
        <v>2.8118433329704512E-2</v>
      </c>
    </row>
    <row r="102" spans="1:6" x14ac:dyDescent="0.25">
      <c r="A102" s="48">
        <v>460</v>
      </c>
      <c r="B102" s="48">
        <v>0.2908</v>
      </c>
      <c r="C102" s="48">
        <v>0.06</v>
      </c>
      <c r="D102" s="48">
        <v>1.6692</v>
      </c>
      <c r="E102" s="48">
        <f t="shared" si="2"/>
        <v>0.14396039603960395</v>
      </c>
      <c r="F102" s="48">
        <f t="shared" si="3"/>
        <v>2.9702970297029702E-2</v>
      </c>
    </row>
    <row r="103" spans="1:6" x14ac:dyDescent="0.25">
      <c r="A103" s="48">
        <v>461</v>
      </c>
      <c r="B103" s="48">
        <v>0.2839701</v>
      </c>
      <c r="C103" s="48">
        <v>6.2601970000000007E-2</v>
      </c>
      <c r="D103" s="48">
        <v>1.6475287000000001</v>
      </c>
      <c r="E103" s="48">
        <f t="shared" si="2"/>
        <v>0.14240509019010106</v>
      </c>
      <c r="F103" s="48">
        <f t="shared" si="3"/>
        <v>3.1393583986229545E-2</v>
      </c>
    </row>
    <row r="104" spans="1:6" x14ac:dyDescent="0.25">
      <c r="A104" s="48">
        <v>462</v>
      </c>
      <c r="B104" s="48">
        <v>0.27672140000000001</v>
      </c>
      <c r="C104" s="48">
        <v>6.5277520000000006E-2</v>
      </c>
      <c r="D104" s="48">
        <v>1.6234127</v>
      </c>
      <c r="E104" s="48">
        <f t="shared" si="2"/>
        <v>0.1407956466645903</v>
      </c>
      <c r="F104" s="48">
        <f t="shared" si="3"/>
        <v>3.3213154606260037E-2</v>
      </c>
    </row>
    <row r="105" spans="1:6" x14ac:dyDescent="0.25">
      <c r="A105" s="48">
        <v>463</v>
      </c>
      <c r="B105" s="48">
        <v>0.26891779999999998</v>
      </c>
      <c r="C105" s="48">
        <v>6.8042080000000005E-2</v>
      </c>
      <c r="D105" s="48">
        <v>1.5960223</v>
      </c>
      <c r="E105" s="48">
        <f t="shared" si="2"/>
        <v>0.13912068242657052</v>
      </c>
      <c r="F105" s="48">
        <f t="shared" si="3"/>
        <v>3.5200572826801745E-2</v>
      </c>
    </row>
    <row r="106" spans="1:6" x14ac:dyDescent="0.25">
      <c r="A106" s="48">
        <v>464</v>
      </c>
      <c r="B106" s="48">
        <v>0.26042270000000001</v>
      </c>
      <c r="C106" s="48">
        <v>7.0911089999999996E-2</v>
      </c>
      <c r="D106" s="48">
        <v>1.5645279999999999</v>
      </c>
      <c r="E106" s="48">
        <f t="shared" si="2"/>
        <v>0.13736375793511826</v>
      </c>
      <c r="F106" s="48">
        <f t="shared" si="3"/>
        <v>3.7403090443634081E-2</v>
      </c>
    </row>
    <row r="107" spans="1:6" x14ac:dyDescent="0.25">
      <c r="A107" s="48">
        <v>465</v>
      </c>
      <c r="B107" s="48">
        <v>0.25109999999999999</v>
      </c>
      <c r="C107" s="48">
        <v>7.3899999999999993E-2</v>
      </c>
      <c r="D107" s="48">
        <v>1.5281</v>
      </c>
      <c r="E107" s="48">
        <f t="shared" si="2"/>
        <v>0.13550267119961146</v>
      </c>
      <c r="F107" s="48">
        <f t="shared" si="3"/>
        <v>3.9879121472127785E-2</v>
      </c>
    </row>
    <row r="108" spans="1:6" x14ac:dyDescent="0.25">
      <c r="A108" s="48">
        <v>466</v>
      </c>
      <c r="B108" s="48">
        <v>0.24084749999999999</v>
      </c>
      <c r="C108" s="48">
        <v>7.7016000000000001E-2</v>
      </c>
      <c r="D108" s="48">
        <v>1.4861114</v>
      </c>
      <c r="E108" s="48">
        <f t="shared" si="2"/>
        <v>0.13350934095590797</v>
      </c>
      <c r="F108" s="48">
        <f t="shared" si="3"/>
        <v>4.2692390010526202E-2</v>
      </c>
    </row>
    <row r="109" spans="1:6" x14ac:dyDescent="0.25">
      <c r="A109" s="48">
        <v>467</v>
      </c>
      <c r="B109" s="48">
        <v>0.22985120000000001</v>
      </c>
      <c r="C109" s="48">
        <v>8.0266400000000002E-2</v>
      </c>
      <c r="D109" s="48">
        <v>1.4395214999999999</v>
      </c>
      <c r="E109" s="48">
        <f t="shared" si="2"/>
        <v>0.13137063523557516</v>
      </c>
      <c r="F109" s="48">
        <f t="shared" si="3"/>
        <v>4.5875975222547327E-2</v>
      </c>
    </row>
    <row r="110" spans="1:6" x14ac:dyDescent="0.25">
      <c r="A110" s="48">
        <v>468</v>
      </c>
      <c r="B110" s="48">
        <v>0.2184072</v>
      </c>
      <c r="C110" s="48">
        <v>8.36668E-2</v>
      </c>
      <c r="D110" s="48">
        <v>1.3898798999999999</v>
      </c>
      <c r="E110" s="48">
        <f t="shared" si="2"/>
        <v>0.12908578655718694</v>
      </c>
      <c r="F110" s="48">
        <f t="shared" si="3"/>
        <v>4.9449810659734882E-2</v>
      </c>
    </row>
    <row r="111" spans="1:6" x14ac:dyDescent="0.25">
      <c r="A111" s="48">
        <v>469</v>
      </c>
      <c r="B111" s="48">
        <v>0.20681150000000001</v>
      </c>
      <c r="C111" s="48">
        <v>8.7232799999999999E-2</v>
      </c>
      <c r="D111" s="48">
        <v>1.3387362</v>
      </c>
      <c r="E111" s="48">
        <f t="shared" si="2"/>
        <v>0.12666215697700947</v>
      </c>
      <c r="F111" s="48">
        <f t="shared" si="3"/>
        <v>5.3425919773049717E-2</v>
      </c>
    </row>
    <row r="112" spans="1:6" x14ac:dyDescent="0.25">
      <c r="A112" s="48">
        <v>470</v>
      </c>
      <c r="B112" s="48">
        <v>0.19536000000000001</v>
      </c>
      <c r="C112" s="48">
        <v>9.0980000000000005E-2</v>
      </c>
      <c r="D112" s="48">
        <v>1.2876399999999999</v>
      </c>
      <c r="E112" s="48">
        <f t="shared" si="2"/>
        <v>0.12411847672778563</v>
      </c>
      <c r="F112" s="48">
        <f t="shared" si="3"/>
        <v>5.7802513373740462E-2</v>
      </c>
    </row>
    <row r="113" spans="1:6" x14ac:dyDescent="0.25">
      <c r="A113" s="48">
        <v>471</v>
      </c>
      <c r="B113" s="48">
        <v>0.18421360000000001</v>
      </c>
      <c r="C113" s="48">
        <v>9.4917550000000003E-2</v>
      </c>
      <c r="D113" s="48">
        <v>1.2374223</v>
      </c>
      <c r="E113" s="48">
        <f t="shared" si="2"/>
        <v>0.12146858391308266</v>
      </c>
      <c r="F113" s="48">
        <f t="shared" si="3"/>
        <v>6.2587672066553274E-2</v>
      </c>
    </row>
    <row r="114" spans="1:6" x14ac:dyDescent="0.25">
      <c r="A114" s="48">
        <v>472</v>
      </c>
      <c r="B114" s="48">
        <v>0.17332729999999999</v>
      </c>
      <c r="C114" s="48">
        <v>9.9045839999999996E-2</v>
      </c>
      <c r="D114" s="48">
        <v>1.1878242999999999</v>
      </c>
      <c r="E114" s="48">
        <f t="shared" si="2"/>
        <v>0.11870127645203925</v>
      </c>
      <c r="F114" s="48">
        <f t="shared" si="3"/>
        <v>6.7830443532348614E-2</v>
      </c>
    </row>
    <row r="115" spans="1:6" x14ac:dyDescent="0.25">
      <c r="A115" s="48">
        <v>473</v>
      </c>
      <c r="B115" s="48">
        <v>0.1626881</v>
      </c>
      <c r="C115" s="48">
        <v>0.1033674</v>
      </c>
      <c r="D115" s="48">
        <v>1.1387611</v>
      </c>
      <c r="E115" s="48">
        <f t="shared" si="2"/>
        <v>0.11580735876839725</v>
      </c>
      <c r="F115" s="48">
        <f t="shared" si="3"/>
        <v>7.3580707972841441E-2</v>
      </c>
    </row>
    <row r="116" spans="1:6" x14ac:dyDescent="0.25">
      <c r="A116" s="48">
        <v>474</v>
      </c>
      <c r="B116" s="48">
        <v>0.15228330000000001</v>
      </c>
      <c r="C116" s="48">
        <v>0.1078846</v>
      </c>
      <c r="D116" s="48">
        <v>1.0901479999999999</v>
      </c>
      <c r="E116" s="48">
        <f t="shared" si="2"/>
        <v>0.11277605484761011</v>
      </c>
      <c r="F116" s="48">
        <f t="shared" si="3"/>
        <v>7.9895822895960866E-2</v>
      </c>
    </row>
    <row r="117" spans="1:6" x14ac:dyDescent="0.25">
      <c r="A117" s="48">
        <v>475</v>
      </c>
      <c r="B117" s="48">
        <v>0.1421</v>
      </c>
      <c r="C117" s="48">
        <v>0.11260000000000001</v>
      </c>
      <c r="D117" s="48">
        <v>1.0419</v>
      </c>
      <c r="E117" s="48">
        <f t="shared" si="2"/>
        <v>0.10959432361561004</v>
      </c>
      <c r="F117" s="48">
        <f t="shared" si="3"/>
        <v>8.6842511183094231E-2</v>
      </c>
    </row>
    <row r="118" spans="1:6" x14ac:dyDescent="0.25">
      <c r="A118" s="48">
        <v>476</v>
      </c>
      <c r="B118" s="48">
        <v>0.13217860000000001</v>
      </c>
      <c r="C118" s="48">
        <v>0.117532</v>
      </c>
      <c r="D118" s="48">
        <v>0.99419760000000001</v>
      </c>
      <c r="E118" s="48">
        <f t="shared" si="2"/>
        <v>0.10626073531792782</v>
      </c>
      <c r="F118" s="48">
        <f t="shared" si="3"/>
        <v>9.4486072203720503E-2</v>
      </c>
    </row>
    <row r="119" spans="1:6" x14ac:dyDescent="0.25">
      <c r="A119" s="48">
        <v>477</v>
      </c>
      <c r="B119" s="48">
        <v>0.1225696</v>
      </c>
      <c r="C119" s="48">
        <v>0.1226744</v>
      </c>
      <c r="D119" s="48">
        <v>0.9473473</v>
      </c>
      <c r="E119" s="48">
        <f t="shared" si="2"/>
        <v>0.10277586294650982</v>
      </c>
      <c r="F119" s="48">
        <f t="shared" si="3"/>
        <v>0.1028637388181517</v>
      </c>
    </row>
    <row r="120" spans="1:6" x14ac:dyDescent="0.25">
      <c r="A120" s="48">
        <v>478</v>
      </c>
      <c r="B120" s="48">
        <v>0.11327520000000001</v>
      </c>
      <c r="C120" s="48">
        <v>0.12799279999999999</v>
      </c>
      <c r="D120" s="48">
        <v>0.90145310000000001</v>
      </c>
      <c r="E120" s="48">
        <f t="shared" si="2"/>
        <v>9.9127599901673302E-2</v>
      </c>
      <c r="F120" s="48">
        <f t="shared" si="3"/>
        <v>0.11200703303719517</v>
      </c>
    </row>
    <row r="121" spans="1:6" x14ac:dyDescent="0.25">
      <c r="A121" s="48">
        <v>479</v>
      </c>
      <c r="B121" s="48">
        <v>0.1042979</v>
      </c>
      <c r="C121" s="48">
        <v>0.13345280000000001</v>
      </c>
      <c r="D121" s="48">
        <v>0.85661929999999997</v>
      </c>
      <c r="E121" s="48">
        <f t="shared" si="2"/>
        <v>9.5304056214991273E-2</v>
      </c>
      <c r="F121" s="48">
        <f t="shared" si="3"/>
        <v>0.12194486325465793</v>
      </c>
    </row>
    <row r="122" spans="1:6" x14ac:dyDescent="0.25">
      <c r="A122" s="48">
        <v>480</v>
      </c>
      <c r="B122" s="48">
        <v>9.5640000000000003E-2</v>
      </c>
      <c r="C122" s="48">
        <v>0.13902</v>
      </c>
      <c r="D122" s="48">
        <v>0.81295010000000001</v>
      </c>
      <c r="E122" s="48">
        <f t="shared" si="2"/>
        <v>9.1293507002271179E-2</v>
      </c>
      <c r="F122" s="48">
        <f t="shared" si="3"/>
        <v>0.13270204248699016</v>
      </c>
    </row>
    <row r="123" spans="1:6" x14ac:dyDescent="0.25">
      <c r="A123" s="48">
        <v>481</v>
      </c>
      <c r="B123" s="48">
        <v>8.7299550000000004E-2</v>
      </c>
      <c r="C123" s="48">
        <v>0.14467640000000001</v>
      </c>
      <c r="D123" s="48">
        <v>0.77051729999999996</v>
      </c>
      <c r="E123" s="48">
        <f t="shared" si="2"/>
        <v>8.7082431727096427E-2</v>
      </c>
      <c r="F123" s="48">
        <f t="shared" si="3"/>
        <v>0.14431658268023254</v>
      </c>
    </row>
    <row r="124" spans="1:6" x14ac:dyDescent="0.25">
      <c r="A124" s="48">
        <v>482</v>
      </c>
      <c r="B124" s="48">
        <v>7.9308039999999996E-2</v>
      </c>
      <c r="C124" s="48">
        <v>0.1504693</v>
      </c>
      <c r="D124" s="48">
        <v>0.7294448</v>
      </c>
      <c r="E124" s="48">
        <f t="shared" si="2"/>
        <v>8.2679534481970976E-2</v>
      </c>
      <c r="F124" s="48">
        <f t="shared" si="3"/>
        <v>0.15686595807723955</v>
      </c>
    </row>
    <row r="125" spans="1:6" x14ac:dyDescent="0.25">
      <c r="A125" s="48">
        <v>483</v>
      </c>
      <c r="B125" s="48">
        <v>7.1717760000000005E-2</v>
      </c>
      <c r="C125" s="48">
        <v>0.15646189999999999</v>
      </c>
      <c r="D125" s="48">
        <v>0.68991360000000002</v>
      </c>
      <c r="E125" s="48">
        <f t="shared" si="2"/>
        <v>7.811598573330121E-2</v>
      </c>
      <c r="F125" s="48">
        <f t="shared" si="3"/>
        <v>0.17042048647650457</v>
      </c>
    </row>
    <row r="126" spans="1:6" x14ac:dyDescent="0.25">
      <c r="A126" s="48">
        <v>484</v>
      </c>
      <c r="B126" s="48">
        <v>6.4580990000000005E-2</v>
      </c>
      <c r="C126" s="48">
        <v>0.16271769999999999</v>
      </c>
      <c r="D126" s="48">
        <v>0.65210489999999999</v>
      </c>
      <c r="E126" s="48">
        <f t="shared" si="2"/>
        <v>7.3437259904749766E-2</v>
      </c>
      <c r="F126" s="48">
        <f t="shared" si="3"/>
        <v>0.18503188052711952</v>
      </c>
    </row>
    <row r="127" spans="1:6" x14ac:dyDescent="0.25">
      <c r="A127" s="48">
        <v>485</v>
      </c>
      <c r="B127" s="48">
        <v>5.7950010000000003E-2</v>
      </c>
      <c r="C127" s="48">
        <v>0.16930000000000001</v>
      </c>
      <c r="D127" s="48">
        <v>0.61619999999999997</v>
      </c>
      <c r="E127" s="48">
        <f t="shared" si="2"/>
        <v>6.870592129105553E-2</v>
      </c>
      <c r="F127" s="48">
        <f t="shared" si="3"/>
        <v>0.20072321772810223</v>
      </c>
    </row>
    <row r="128" spans="1:6" x14ac:dyDescent="0.25">
      <c r="A128" s="48">
        <v>486</v>
      </c>
      <c r="B128" s="48">
        <v>5.1862110000000003E-2</v>
      </c>
      <c r="C128" s="48">
        <v>0.17624310000000001</v>
      </c>
      <c r="D128" s="48">
        <v>0.58232859999999997</v>
      </c>
      <c r="E128" s="48">
        <f t="shared" si="2"/>
        <v>6.3993023686906653E-2</v>
      </c>
      <c r="F128" s="48">
        <f t="shared" si="3"/>
        <v>0.21746760540506083</v>
      </c>
    </row>
    <row r="129" spans="1:6" x14ac:dyDescent="0.25">
      <c r="A129" s="48">
        <v>487</v>
      </c>
      <c r="B129" s="48">
        <v>4.628152E-2</v>
      </c>
      <c r="C129" s="48">
        <v>0.1835581</v>
      </c>
      <c r="D129" s="48">
        <v>0.55041620000000002</v>
      </c>
      <c r="E129" s="48">
        <f t="shared" si="2"/>
        <v>5.931582798062307E-2</v>
      </c>
      <c r="F129" s="48">
        <f t="shared" si="3"/>
        <v>0.23525374024124548</v>
      </c>
    </row>
    <row r="130" spans="1:6" x14ac:dyDescent="0.25">
      <c r="A130" s="48">
        <v>488</v>
      </c>
      <c r="B130" s="48">
        <v>4.1150880000000001E-2</v>
      </c>
      <c r="C130" s="48">
        <v>0.19127350000000001</v>
      </c>
      <c r="D130" s="48">
        <v>0.52033759999999996</v>
      </c>
      <c r="E130" s="48">
        <f t="shared" ref="E130:E193" si="4">B130/($B130+$C130+$D130)</f>
        <v>5.4666522876195216E-2</v>
      </c>
      <c r="F130" s="48">
        <f t="shared" ref="F130:F193" si="5">C130/($B130+$C130+$D130)</f>
        <v>0.25409559074702476</v>
      </c>
    </row>
    <row r="131" spans="1:6" x14ac:dyDescent="0.25">
      <c r="A131" s="48">
        <v>489</v>
      </c>
      <c r="B131" s="48">
        <v>3.641283E-2</v>
      </c>
      <c r="C131" s="48">
        <v>0.19941800000000001</v>
      </c>
      <c r="D131" s="48">
        <v>0.4919673</v>
      </c>
      <c r="E131" s="48">
        <f t="shared" si="4"/>
        <v>5.003149705811967E-2</v>
      </c>
      <c r="F131" s="48">
        <f t="shared" si="5"/>
        <v>0.27400180321980216</v>
      </c>
    </row>
    <row r="132" spans="1:6" x14ac:dyDescent="0.25">
      <c r="A132" s="48">
        <v>490</v>
      </c>
      <c r="B132" s="48">
        <v>3.2009999999999997E-2</v>
      </c>
      <c r="C132" s="48">
        <v>0.20802000000000001</v>
      </c>
      <c r="D132" s="48">
        <v>0.46517999999999998</v>
      </c>
      <c r="E132" s="48">
        <f t="shared" si="4"/>
        <v>4.5390734674777722E-2</v>
      </c>
      <c r="F132" s="48">
        <f t="shared" si="5"/>
        <v>0.2949759646062875</v>
      </c>
    </row>
    <row r="133" spans="1:6" x14ac:dyDescent="0.25">
      <c r="A133" s="48">
        <v>491</v>
      </c>
      <c r="B133" s="48">
        <v>2.79172E-2</v>
      </c>
      <c r="C133" s="48">
        <v>0.2171199</v>
      </c>
      <c r="D133" s="48">
        <v>0.4399246</v>
      </c>
      <c r="E133" s="48">
        <f t="shared" si="4"/>
        <v>4.0757315336025356E-2</v>
      </c>
      <c r="F133" s="48">
        <f t="shared" si="5"/>
        <v>0.31698108083999443</v>
      </c>
    </row>
    <row r="134" spans="1:6" x14ac:dyDescent="0.25">
      <c r="A134" s="48">
        <v>492</v>
      </c>
      <c r="B134" s="48">
        <v>2.41444E-2</v>
      </c>
      <c r="C134" s="48">
        <v>0.22673450000000001</v>
      </c>
      <c r="D134" s="48">
        <v>0.41618359999999999</v>
      </c>
      <c r="E134" s="48">
        <f t="shared" si="4"/>
        <v>3.619510915393985E-2</v>
      </c>
      <c r="F134" s="48">
        <f t="shared" si="5"/>
        <v>0.33989993441394173</v>
      </c>
    </row>
    <row r="135" spans="1:6" x14ac:dyDescent="0.25">
      <c r="A135" s="48">
        <v>493</v>
      </c>
      <c r="B135" s="48">
        <v>2.0687000000000001E-2</v>
      </c>
      <c r="C135" s="48">
        <v>0.23685709999999999</v>
      </c>
      <c r="D135" s="48">
        <v>0.39388220000000002</v>
      </c>
      <c r="E135" s="48">
        <f t="shared" si="4"/>
        <v>3.1756470378920841E-2</v>
      </c>
      <c r="F135" s="48">
        <f t="shared" si="5"/>
        <v>0.36359769324634267</v>
      </c>
    </row>
    <row r="136" spans="1:6" x14ac:dyDescent="0.25">
      <c r="A136" s="48">
        <v>494</v>
      </c>
      <c r="B136" s="48">
        <v>1.7540400000000001E-2</v>
      </c>
      <c r="C136" s="48">
        <v>0.24748120000000001</v>
      </c>
      <c r="D136" s="48">
        <v>0.3729459</v>
      </c>
      <c r="E136" s="48">
        <f t="shared" si="4"/>
        <v>2.7494190534784295E-2</v>
      </c>
      <c r="F136" s="48">
        <f t="shared" si="5"/>
        <v>0.38792132828082937</v>
      </c>
    </row>
    <row r="137" spans="1:6" x14ac:dyDescent="0.25">
      <c r="A137" s="48">
        <v>495</v>
      </c>
      <c r="B137" s="48">
        <v>1.47E-2</v>
      </c>
      <c r="C137" s="48">
        <v>0.2586</v>
      </c>
      <c r="D137" s="48">
        <v>0.3533</v>
      </c>
      <c r="E137" s="48">
        <f t="shared" si="4"/>
        <v>2.3459942547079473E-2</v>
      </c>
      <c r="F137" s="48">
        <f t="shared" si="5"/>
        <v>0.41270347909352056</v>
      </c>
    </row>
    <row r="138" spans="1:6" x14ac:dyDescent="0.25">
      <c r="A138" s="48">
        <v>496</v>
      </c>
      <c r="B138" s="48">
        <v>1.216179E-2</v>
      </c>
      <c r="C138" s="48">
        <v>0.27018490000000001</v>
      </c>
      <c r="D138" s="48">
        <v>0.33485779999999998</v>
      </c>
      <c r="E138" s="48">
        <f t="shared" si="4"/>
        <v>1.9704636302953663E-2</v>
      </c>
      <c r="F138" s="48">
        <f t="shared" si="5"/>
        <v>0.43775588865207382</v>
      </c>
    </row>
    <row r="139" spans="1:6" x14ac:dyDescent="0.25">
      <c r="A139" s="48">
        <v>497</v>
      </c>
      <c r="B139" s="48">
        <v>9.9199600000000002E-3</v>
      </c>
      <c r="C139" s="48">
        <v>0.28229389999999999</v>
      </c>
      <c r="D139" s="48">
        <v>0.3175521</v>
      </c>
      <c r="E139" s="48">
        <f t="shared" si="4"/>
        <v>1.6268471267238335E-2</v>
      </c>
      <c r="F139" s="48">
        <f t="shared" si="5"/>
        <v>0.46295450798860593</v>
      </c>
    </row>
    <row r="140" spans="1:6" x14ac:dyDescent="0.25">
      <c r="A140" s="48">
        <v>498</v>
      </c>
      <c r="B140" s="48">
        <v>7.9672400000000004E-3</v>
      </c>
      <c r="C140" s="48">
        <v>0.29505049999999999</v>
      </c>
      <c r="D140" s="48">
        <v>0.30133749999999998</v>
      </c>
      <c r="E140" s="48">
        <f t="shared" si="4"/>
        <v>1.3183041153080763E-2</v>
      </c>
      <c r="F140" s="48">
        <f t="shared" si="5"/>
        <v>0.48820706841228018</v>
      </c>
    </row>
    <row r="141" spans="1:6" x14ac:dyDescent="0.25">
      <c r="A141" s="48">
        <v>499</v>
      </c>
      <c r="B141" s="48">
        <v>6.2963460000000004E-3</v>
      </c>
      <c r="C141" s="48">
        <v>0.30857800000000002</v>
      </c>
      <c r="D141" s="48">
        <v>0.2861686</v>
      </c>
      <c r="E141" s="48">
        <f t="shared" si="4"/>
        <v>1.0475700683125562E-2</v>
      </c>
      <c r="F141" s="48">
        <f t="shared" si="5"/>
        <v>0.51340424516021199</v>
      </c>
    </row>
    <row r="142" spans="1:6" x14ac:dyDescent="0.25">
      <c r="A142" s="48">
        <v>500</v>
      </c>
      <c r="B142" s="48">
        <v>4.8999999999999998E-3</v>
      </c>
      <c r="C142" s="48">
        <v>0.32300000000000001</v>
      </c>
      <c r="D142" s="48">
        <v>0.27200000000000002</v>
      </c>
      <c r="E142" s="48">
        <f t="shared" si="4"/>
        <v>8.1680280046674426E-3</v>
      </c>
      <c r="F142" s="48">
        <f t="shared" si="5"/>
        <v>0.53842307051175187</v>
      </c>
    </row>
    <row r="143" spans="1:6" x14ac:dyDescent="0.25">
      <c r="A143" s="48">
        <v>501</v>
      </c>
      <c r="B143" s="48">
        <v>3.777173E-3</v>
      </c>
      <c r="C143" s="48">
        <v>0.33840209999999998</v>
      </c>
      <c r="D143" s="48">
        <v>0.25881710000000002</v>
      </c>
      <c r="E143" s="48">
        <f t="shared" si="4"/>
        <v>6.2848515726400224E-3</v>
      </c>
      <c r="F143" s="48">
        <f t="shared" si="5"/>
        <v>0.56306845632161562</v>
      </c>
    </row>
    <row r="144" spans="1:6" x14ac:dyDescent="0.25">
      <c r="A144" s="48">
        <v>502</v>
      </c>
      <c r="B144" s="48">
        <v>2.94532E-3</v>
      </c>
      <c r="C144" s="48">
        <v>0.3546858</v>
      </c>
      <c r="D144" s="48">
        <v>0.2464838</v>
      </c>
      <c r="E144" s="48">
        <f t="shared" si="4"/>
        <v>4.8754299926907947E-3</v>
      </c>
      <c r="F144" s="48">
        <f t="shared" si="5"/>
        <v>0.58711643804460245</v>
      </c>
    </row>
    <row r="145" spans="1:6" x14ac:dyDescent="0.25">
      <c r="A145" s="48">
        <v>503</v>
      </c>
      <c r="B145" s="48">
        <v>2.4248799999999999E-3</v>
      </c>
      <c r="C145" s="48">
        <v>0.37169859999999999</v>
      </c>
      <c r="D145" s="48">
        <v>0.2347718</v>
      </c>
      <c r="E145" s="48">
        <f t="shared" si="4"/>
        <v>3.9824253523528703E-3</v>
      </c>
      <c r="F145" s="48">
        <f t="shared" si="5"/>
        <v>0.61044749763867434</v>
      </c>
    </row>
    <row r="146" spans="1:6" x14ac:dyDescent="0.25">
      <c r="A146" s="48">
        <v>504</v>
      </c>
      <c r="B146" s="48">
        <v>2.2362929999999999E-3</v>
      </c>
      <c r="C146" s="48">
        <v>0.38928750000000001</v>
      </c>
      <c r="D146" s="48">
        <v>0.22345329999999999</v>
      </c>
      <c r="E146" s="48">
        <f t="shared" si="4"/>
        <v>3.6363842254527679E-3</v>
      </c>
      <c r="F146" s="48">
        <f t="shared" si="5"/>
        <v>0.63301138275080437</v>
      </c>
    </row>
    <row r="147" spans="1:6" x14ac:dyDescent="0.25">
      <c r="A147" s="48">
        <v>505</v>
      </c>
      <c r="B147" s="48">
        <v>2.3999999999999998E-3</v>
      </c>
      <c r="C147" s="48">
        <v>0.4073</v>
      </c>
      <c r="D147" s="48">
        <v>0.21229999999999999</v>
      </c>
      <c r="E147" s="48">
        <f t="shared" si="4"/>
        <v>3.8585209003215433E-3</v>
      </c>
      <c r="F147" s="48">
        <f t="shared" si="5"/>
        <v>0.6548231511254019</v>
      </c>
    </row>
    <row r="148" spans="1:6" x14ac:dyDescent="0.25">
      <c r="A148" s="48">
        <v>506</v>
      </c>
      <c r="B148" s="48">
        <v>2.92552E-3</v>
      </c>
      <c r="C148" s="48">
        <v>0.42562990000000001</v>
      </c>
      <c r="D148" s="48">
        <v>0.20116919999999999</v>
      </c>
      <c r="E148" s="48">
        <f t="shared" si="4"/>
        <v>4.6457132325555262E-3</v>
      </c>
      <c r="F148" s="48">
        <f t="shared" si="5"/>
        <v>0.67589845859925257</v>
      </c>
    </row>
    <row r="149" spans="1:6" x14ac:dyDescent="0.25">
      <c r="A149" s="48">
        <v>507</v>
      </c>
      <c r="B149" s="48">
        <v>3.8365600000000001E-3</v>
      </c>
      <c r="C149" s="48">
        <v>0.44430960000000003</v>
      </c>
      <c r="D149" s="48">
        <v>0.1901196</v>
      </c>
      <c r="E149" s="48">
        <f t="shared" si="4"/>
        <v>6.0109130716960281E-3</v>
      </c>
      <c r="F149" s="48">
        <f t="shared" si="5"/>
        <v>0.69612006133620585</v>
      </c>
    </row>
    <row r="150" spans="1:6" x14ac:dyDescent="0.25">
      <c r="A150" s="48">
        <v>508</v>
      </c>
      <c r="B150" s="48">
        <v>5.17484E-3</v>
      </c>
      <c r="C150" s="48">
        <v>0.46339439999999998</v>
      </c>
      <c r="D150" s="48">
        <v>0.17922540000000001</v>
      </c>
      <c r="E150" s="48">
        <f t="shared" si="4"/>
        <v>7.9883958286533531E-3</v>
      </c>
      <c r="F150" s="48">
        <f t="shared" si="5"/>
        <v>0.71534151625583076</v>
      </c>
    </row>
    <row r="151" spans="1:6" x14ac:dyDescent="0.25">
      <c r="A151" s="48">
        <v>509</v>
      </c>
      <c r="B151" s="48">
        <v>6.9820799999999999E-3</v>
      </c>
      <c r="C151" s="48">
        <v>0.48293950000000002</v>
      </c>
      <c r="D151" s="48">
        <v>0.16856080000000001</v>
      </c>
      <c r="E151" s="48">
        <f t="shared" si="4"/>
        <v>1.0603290554259022E-2</v>
      </c>
      <c r="F151" s="48">
        <f t="shared" si="5"/>
        <v>0.73341294265155588</v>
      </c>
    </row>
    <row r="152" spans="1:6" x14ac:dyDescent="0.25">
      <c r="A152" s="48">
        <v>510</v>
      </c>
      <c r="B152" s="48">
        <v>9.2999999999999992E-3</v>
      </c>
      <c r="C152" s="48">
        <v>0.503</v>
      </c>
      <c r="D152" s="48">
        <v>0.15820000000000001</v>
      </c>
      <c r="E152" s="48">
        <f t="shared" si="4"/>
        <v>1.3870246085011185E-2</v>
      </c>
      <c r="F152" s="48">
        <f t="shared" si="5"/>
        <v>0.750186428038777</v>
      </c>
    </row>
    <row r="153" spans="1:6" x14ac:dyDescent="0.25">
      <c r="A153" s="48">
        <v>511</v>
      </c>
      <c r="B153" s="48">
        <v>1.2149490000000001E-2</v>
      </c>
      <c r="C153" s="48">
        <v>0.52356930000000002</v>
      </c>
      <c r="D153" s="48">
        <v>0.1481383</v>
      </c>
      <c r="E153" s="48">
        <f t="shared" si="4"/>
        <v>1.7766124205862953E-2</v>
      </c>
      <c r="F153" s="48">
        <f t="shared" si="5"/>
        <v>0.76561215443419617</v>
      </c>
    </row>
    <row r="154" spans="1:6" x14ac:dyDescent="0.25">
      <c r="A154" s="48">
        <v>512</v>
      </c>
      <c r="B154" s="48">
        <v>1.553588E-2</v>
      </c>
      <c r="C154" s="48">
        <v>0.544512</v>
      </c>
      <c r="D154" s="48">
        <v>0.13837579999999999</v>
      </c>
      <c r="E154" s="48">
        <f t="shared" si="4"/>
        <v>2.2244205694743918E-2</v>
      </c>
      <c r="F154" s="48">
        <f t="shared" si="5"/>
        <v>0.77962992320077129</v>
      </c>
    </row>
    <row r="155" spans="1:6" x14ac:dyDescent="0.25">
      <c r="A155" s="48">
        <v>513</v>
      </c>
      <c r="B155" s="48">
        <v>1.9477520000000002E-2</v>
      </c>
      <c r="C155" s="48">
        <v>0.56569000000000003</v>
      </c>
      <c r="D155" s="48">
        <v>0.1289942</v>
      </c>
      <c r="E155" s="48">
        <f t="shared" si="4"/>
        <v>2.7273262420170041E-2</v>
      </c>
      <c r="F155" s="48">
        <f t="shared" si="5"/>
        <v>0.79210350283126341</v>
      </c>
    </row>
    <row r="156" spans="1:6" x14ac:dyDescent="0.25">
      <c r="A156" s="48">
        <v>514</v>
      </c>
      <c r="B156" s="48">
        <v>2.399277E-2</v>
      </c>
      <c r="C156" s="48">
        <v>0.58696530000000002</v>
      </c>
      <c r="D156" s="48">
        <v>0.1200751</v>
      </c>
      <c r="E156" s="48">
        <f t="shared" si="4"/>
        <v>3.2820357522217493E-2</v>
      </c>
      <c r="F156" s="48">
        <f t="shared" si="5"/>
        <v>0.80292567298964013</v>
      </c>
    </row>
    <row r="157" spans="1:6" x14ac:dyDescent="0.25">
      <c r="A157" s="48">
        <v>515</v>
      </c>
      <c r="B157" s="48">
        <v>2.9100000000000001E-2</v>
      </c>
      <c r="C157" s="48">
        <v>0.60819999999999996</v>
      </c>
      <c r="D157" s="48">
        <v>0.11169999999999999</v>
      </c>
      <c r="E157" s="48">
        <f t="shared" si="4"/>
        <v>3.8851802403204273E-2</v>
      </c>
      <c r="F157" s="48">
        <f t="shared" si="5"/>
        <v>0.81201602136181572</v>
      </c>
    </row>
    <row r="158" spans="1:6" x14ac:dyDescent="0.25">
      <c r="A158" s="48">
        <v>516</v>
      </c>
      <c r="B158" s="48">
        <v>3.4814850000000001E-2</v>
      </c>
      <c r="C158" s="48">
        <v>0.62934559999999995</v>
      </c>
      <c r="D158" s="48">
        <v>0.10390480000000001</v>
      </c>
      <c r="E158" s="48">
        <f t="shared" si="4"/>
        <v>4.5327984829413914E-2</v>
      </c>
      <c r="F158" s="48">
        <f t="shared" si="5"/>
        <v>0.81939080045608104</v>
      </c>
    </row>
    <row r="159" spans="1:6" x14ac:dyDescent="0.25">
      <c r="A159" s="48">
        <v>517</v>
      </c>
      <c r="B159" s="48">
        <v>4.1120160000000003E-2</v>
      </c>
      <c r="C159" s="48">
        <v>0.65030679999999996</v>
      </c>
      <c r="D159" s="48">
        <v>9.666748E-2</v>
      </c>
      <c r="E159" s="48">
        <f t="shared" si="4"/>
        <v>5.2176690905216899E-2</v>
      </c>
      <c r="F159" s="48">
        <f t="shared" si="5"/>
        <v>0.82516354258253621</v>
      </c>
    </row>
    <row r="160" spans="1:6" x14ac:dyDescent="0.25">
      <c r="A160" s="48">
        <v>518</v>
      </c>
      <c r="B160" s="48">
        <v>4.798504E-2</v>
      </c>
      <c r="C160" s="48">
        <v>0.6708752</v>
      </c>
      <c r="D160" s="48">
        <v>8.9982720000000002E-2</v>
      </c>
      <c r="E160" s="48">
        <f t="shared" si="4"/>
        <v>5.9325533351987141E-2</v>
      </c>
      <c r="F160" s="48">
        <f t="shared" si="5"/>
        <v>0.82942577629655079</v>
      </c>
    </row>
    <row r="161" spans="1:6" x14ac:dyDescent="0.25">
      <c r="A161" s="48">
        <v>519</v>
      </c>
      <c r="B161" s="48">
        <v>5.5378610000000002E-2</v>
      </c>
      <c r="C161" s="48">
        <v>0.69084239999999997</v>
      </c>
      <c r="D161" s="48">
        <v>8.3845310000000006E-2</v>
      </c>
      <c r="E161" s="48">
        <f t="shared" si="4"/>
        <v>6.6715886027034557E-2</v>
      </c>
      <c r="F161" s="48">
        <f t="shared" si="5"/>
        <v>0.83227373928386827</v>
      </c>
    </row>
    <row r="162" spans="1:6" x14ac:dyDescent="0.25">
      <c r="A162" s="48">
        <v>520</v>
      </c>
      <c r="B162" s="48">
        <v>6.3270000000000007E-2</v>
      </c>
      <c r="C162" s="48">
        <v>0.71</v>
      </c>
      <c r="D162" s="48">
        <v>7.8249990000000005E-2</v>
      </c>
      <c r="E162" s="48">
        <f t="shared" si="4"/>
        <v>7.4302424773374967E-2</v>
      </c>
      <c r="F162" s="48">
        <f t="shared" si="5"/>
        <v>0.8338030913402279</v>
      </c>
    </row>
    <row r="163" spans="1:6" x14ac:dyDescent="0.25">
      <c r="A163" s="48">
        <v>521</v>
      </c>
      <c r="B163" s="48">
        <v>7.1635009999999999E-2</v>
      </c>
      <c r="C163" s="48">
        <v>0.72818519999999998</v>
      </c>
      <c r="D163" s="48">
        <v>7.3208990000000002E-2</v>
      </c>
      <c r="E163" s="48">
        <f t="shared" si="4"/>
        <v>8.2053395235806542E-2</v>
      </c>
      <c r="F163" s="48">
        <f t="shared" si="5"/>
        <v>0.83409031450494431</v>
      </c>
    </row>
    <row r="164" spans="1:6" x14ac:dyDescent="0.25">
      <c r="A164" s="48">
        <v>522</v>
      </c>
      <c r="B164" s="48">
        <v>8.0462240000000004E-2</v>
      </c>
      <c r="C164" s="48">
        <v>0.7454636</v>
      </c>
      <c r="D164" s="48">
        <v>6.8678160000000002E-2</v>
      </c>
      <c r="E164" s="48">
        <f t="shared" si="4"/>
        <v>8.9941739585336078E-2</v>
      </c>
      <c r="F164" s="48">
        <f t="shared" si="5"/>
        <v>0.83328891889595835</v>
      </c>
    </row>
    <row r="165" spans="1:6" x14ac:dyDescent="0.25">
      <c r="A165" s="48">
        <v>523</v>
      </c>
      <c r="B165" s="48">
        <v>8.9739959999999994E-2</v>
      </c>
      <c r="C165" s="48">
        <v>0.76196940000000002</v>
      </c>
      <c r="D165" s="48">
        <v>6.4567840000000001E-2</v>
      </c>
      <c r="E165" s="48">
        <f t="shared" si="4"/>
        <v>9.7939750110556056E-2</v>
      </c>
      <c r="F165" s="48">
        <f t="shared" si="5"/>
        <v>0.83159266649874075</v>
      </c>
    </row>
    <row r="166" spans="1:6" x14ac:dyDescent="0.25">
      <c r="A166" s="48">
        <v>524</v>
      </c>
      <c r="B166" s="48">
        <v>9.9456450000000002E-2</v>
      </c>
      <c r="C166" s="48">
        <v>0.77783679999999999</v>
      </c>
      <c r="D166" s="48">
        <v>6.0788349999999998E-2</v>
      </c>
      <c r="E166" s="48">
        <f t="shared" si="4"/>
        <v>0.1060211073322406</v>
      </c>
      <c r="F166" s="48">
        <f t="shared" si="5"/>
        <v>0.82917818663109899</v>
      </c>
    </row>
    <row r="167" spans="1:6" x14ac:dyDescent="0.25">
      <c r="A167" s="48">
        <v>525</v>
      </c>
      <c r="B167" s="48">
        <v>0.1096</v>
      </c>
      <c r="C167" s="48">
        <v>0.79320000000000002</v>
      </c>
      <c r="D167" s="48">
        <v>5.7250009999999997E-2</v>
      </c>
      <c r="E167" s="48">
        <f t="shared" si="4"/>
        <v>0.11416071960667966</v>
      </c>
      <c r="F167" s="48">
        <f t="shared" si="5"/>
        <v>0.82620695978118885</v>
      </c>
    </row>
    <row r="168" spans="1:6" x14ac:dyDescent="0.25">
      <c r="A168" s="48">
        <v>526</v>
      </c>
      <c r="B168" s="48">
        <v>0.12016739999999999</v>
      </c>
      <c r="C168" s="48">
        <v>0.80811040000000001</v>
      </c>
      <c r="D168" s="48">
        <v>5.3904349999999997E-2</v>
      </c>
      <c r="E168" s="48">
        <f t="shared" si="4"/>
        <v>0.12234736703370142</v>
      </c>
      <c r="F168" s="48">
        <f t="shared" si="5"/>
        <v>0.82277039956386899</v>
      </c>
    </row>
    <row r="169" spans="1:6" x14ac:dyDescent="0.25">
      <c r="A169" s="48">
        <v>527</v>
      </c>
      <c r="B169" s="48">
        <v>0.13111449999999999</v>
      </c>
      <c r="C169" s="48">
        <v>0.82249620000000001</v>
      </c>
      <c r="D169" s="48">
        <v>5.0746640000000003E-2</v>
      </c>
      <c r="E169" s="48">
        <f t="shared" si="4"/>
        <v>0.13054566813839383</v>
      </c>
      <c r="F169" s="48">
        <f t="shared" si="5"/>
        <v>0.81892785290940362</v>
      </c>
    </row>
    <row r="170" spans="1:6" x14ac:dyDescent="0.25">
      <c r="A170" s="48">
        <v>528</v>
      </c>
      <c r="B170" s="48">
        <v>0.14236789999999999</v>
      </c>
      <c r="C170" s="48">
        <v>0.83630680000000002</v>
      </c>
      <c r="D170" s="48">
        <v>4.7752759999999998E-2</v>
      </c>
      <c r="E170" s="48">
        <f t="shared" si="4"/>
        <v>0.13870234921423477</v>
      </c>
      <c r="F170" s="48">
        <f t="shared" si="5"/>
        <v>0.81477438259494728</v>
      </c>
    </row>
    <row r="171" spans="1:6" x14ac:dyDescent="0.25">
      <c r="A171" s="48">
        <v>529</v>
      </c>
      <c r="B171" s="48">
        <v>0.1538542</v>
      </c>
      <c r="C171" s="48">
        <v>0.84949160000000001</v>
      </c>
      <c r="D171" s="48">
        <v>4.4898590000000002E-2</v>
      </c>
      <c r="E171" s="48">
        <f t="shared" si="4"/>
        <v>0.14677321573836422</v>
      </c>
      <c r="F171" s="48">
        <f t="shared" si="5"/>
        <v>0.81039460654781081</v>
      </c>
    </row>
    <row r="172" spans="1:6" x14ac:dyDescent="0.25">
      <c r="A172" s="48">
        <v>530</v>
      </c>
      <c r="B172" s="48">
        <v>0.16550000000000001</v>
      </c>
      <c r="C172" s="48">
        <v>0.86199999999999999</v>
      </c>
      <c r="D172" s="48">
        <v>4.2160000000000003E-2</v>
      </c>
      <c r="E172" s="48">
        <f t="shared" si="4"/>
        <v>0.15472206121571341</v>
      </c>
      <c r="F172" s="48">
        <f t="shared" si="5"/>
        <v>0.8058635454256492</v>
      </c>
    </row>
    <row r="173" spans="1:6" x14ac:dyDescent="0.25">
      <c r="A173" s="48">
        <v>531</v>
      </c>
      <c r="B173" s="48">
        <v>0.1772571</v>
      </c>
      <c r="C173" s="48">
        <v>0.8738108</v>
      </c>
      <c r="D173" s="48">
        <v>3.9507279999999999E-2</v>
      </c>
      <c r="E173" s="48">
        <f t="shared" si="4"/>
        <v>0.16253542465545565</v>
      </c>
      <c r="F173" s="48">
        <f t="shared" si="5"/>
        <v>0.80123848041361068</v>
      </c>
    </row>
    <row r="174" spans="1:6" x14ac:dyDescent="0.25">
      <c r="A174" s="48">
        <v>532</v>
      </c>
      <c r="B174" s="48">
        <v>0.18914</v>
      </c>
      <c r="C174" s="48">
        <v>0.88496240000000004</v>
      </c>
      <c r="D174" s="48">
        <v>3.6935639999999999E-2</v>
      </c>
      <c r="E174" s="48">
        <f t="shared" si="4"/>
        <v>0.17023719547892346</v>
      </c>
      <c r="F174" s="48">
        <f t="shared" si="5"/>
        <v>0.79651854224541219</v>
      </c>
    </row>
    <row r="175" spans="1:6" x14ac:dyDescent="0.25">
      <c r="A175" s="48">
        <v>533</v>
      </c>
      <c r="B175" s="48">
        <v>0.2011694</v>
      </c>
      <c r="C175" s="48">
        <v>0.8954936</v>
      </c>
      <c r="D175" s="48">
        <v>3.445836E-2</v>
      </c>
      <c r="E175" s="48">
        <f t="shared" si="4"/>
        <v>0.17784952801174228</v>
      </c>
      <c r="F175" s="48">
        <f t="shared" si="5"/>
        <v>0.79168657905991635</v>
      </c>
    </row>
    <row r="176" spans="1:6" x14ac:dyDescent="0.25">
      <c r="A176" s="48">
        <v>534</v>
      </c>
      <c r="B176" s="48">
        <v>0.21336579999999999</v>
      </c>
      <c r="C176" s="48">
        <v>0.9054432</v>
      </c>
      <c r="D176" s="48">
        <v>3.2088720000000001E-2</v>
      </c>
      <c r="E176" s="48">
        <f t="shared" si="4"/>
        <v>0.185390757399363</v>
      </c>
      <c r="F176" s="48">
        <f t="shared" si="5"/>
        <v>0.78672777282068129</v>
      </c>
    </row>
    <row r="177" spans="1:6" x14ac:dyDescent="0.25">
      <c r="A177" s="48">
        <v>535</v>
      </c>
      <c r="B177" s="48">
        <v>0.2257499</v>
      </c>
      <c r="C177" s="48">
        <v>0.9148501</v>
      </c>
      <c r="D177" s="48">
        <v>2.9839999999999998E-2</v>
      </c>
      <c r="E177" s="48">
        <f t="shared" si="4"/>
        <v>0.19287609787772117</v>
      </c>
      <c r="F177" s="48">
        <f t="shared" si="5"/>
        <v>0.78162921636307703</v>
      </c>
    </row>
    <row r="178" spans="1:6" x14ac:dyDescent="0.25">
      <c r="A178" s="48">
        <v>536</v>
      </c>
      <c r="B178" s="48">
        <v>0.2383209</v>
      </c>
      <c r="C178" s="48">
        <v>0.92373479999999997</v>
      </c>
      <c r="D178" s="48">
        <v>2.771181E-2</v>
      </c>
      <c r="E178" s="48">
        <f t="shared" si="4"/>
        <v>0.20030879814494176</v>
      </c>
      <c r="F178" s="48">
        <f t="shared" si="5"/>
        <v>0.7763994160506198</v>
      </c>
    </row>
    <row r="179" spans="1:6" x14ac:dyDescent="0.25">
      <c r="A179" s="48">
        <v>537</v>
      </c>
      <c r="B179" s="48">
        <v>0.25106679999999998</v>
      </c>
      <c r="C179" s="48">
        <v>0.93209240000000004</v>
      </c>
      <c r="D179" s="48">
        <v>2.5694439999999999E-2</v>
      </c>
      <c r="E179" s="48">
        <f t="shared" si="4"/>
        <v>0.20768998966657368</v>
      </c>
      <c r="F179" s="48">
        <f t="shared" si="5"/>
        <v>0.77105479866032411</v>
      </c>
    </row>
    <row r="180" spans="1:6" x14ac:dyDescent="0.25">
      <c r="A180" s="48">
        <v>538</v>
      </c>
      <c r="B180" s="48">
        <v>0.26399220000000001</v>
      </c>
      <c r="C180" s="48">
        <v>0.93992260000000005</v>
      </c>
      <c r="D180" s="48">
        <v>2.3787160000000002E-2</v>
      </c>
      <c r="E180" s="48">
        <f t="shared" si="4"/>
        <v>0.21502955000576848</v>
      </c>
      <c r="F180" s="48">
        <f t="shared" si="5"/>
        <v>0.7655950960606106</v>
      </c>
    </row>
    <row r="181" spans="1:6" x14ac:dyDescent="0.25">
      <c r="A181" s="48">
        <v>539</v>
      </c>
      <c r="B181" s="48">
        <v>0.27710170000000001</v>
      </c>
      <c r="C181" s="48">
        <v>0.94722519999999999</v>
      </c>
      <c r="D181" s="48">
        <v>2.1989249999999998E-2</v>
      </c>
      <c r="E181" s="48">
        <f t="shared" si="4"/>
        <v>0.22233660375820374</v>
      </c>
      <c r="F181" s="48">
        <f t="shared" si="5"/>
        <v>0.76001999974083623</v>
      </c>
    </row>
    <row r="182" spans="1:6" x14ac:dyDescent="0.25">
      <c r="A182" s="48">
        <v>540</v>
      </c>
      <c r="B182" s="48">
        <v>0.29039999999999999</v>
      </c>
      <c r="C182" s="48">
        <v>0.95399999999999996</v>
      </c>
      <c r="D182" s="48">
        <v>2.0299999999999999E-2</v>
      </c>
      <c r="E182" s="48">
        <f t="shared" si="4"/>
        <v>0.22961967264964023</v>
      </c>
      <c r="F182" s="48">
        <f t="shared" si="5"/>
        <v>0.75432908990274372</v>
      </c>
    </row>
    <row r="183" spans="1:6" x14ac:dyDescent="0.25">
      <c r="A183" s="48">
        <v>541</v>
      </c>
      <c r="B183" s="48">
        <v>0.30389119999999997</v>
      </c>
      <c r="C183" s="48">
        <v>0.96025609999999995</v>
      </c>
      <c r="D183" s="48">
        <v>1.871805E-2</v>
      </c>
      <c r="E183" s="48">
        <f t="shared" si="4"/>
        <v>0.23688472059830754</v>
      </c>
      <c r="F183" s="48">
        <f t="shared" si="5"/>
        <v>0.74852446517477467</v>
      </c>
    </row>
    <row r="184" spans="1:6" x14ac:dyDescent="0.25">
      <c r="A184" s="48">
        <v>542</v>
      </c>
      <c r="B184" s="48">
        <v>0.31757259999999998</v>
      </c>
      <c r="C184" s="48">
        <v>0.96600739999999996</v>
      </c>
      <c r="D184" s="48">
        <v>1.724036E-2</v>
      </c>
      <c r="E184" s="48">
        <f t="shared" si="4"/>
        <v>0.24413255647382395</v>
      </c>
      <c r="F184" s="48">
        <f t="shared" si="5"/>
        <v>0.74261399168137254</v>
      </c>
    </row>
    <row r="185" spans="1:6" x14ac:dyDescent="0.25">
      <c r="A185" s="48">
        <v>543</v>
      </c>
      <c r="B185" s="48">
        <v>0.33143840000000002</v>
      </c>
      <c r="C185" s="48">
        <v>0.97126060000000003</v>
      </c>
      <c r="D185" s="48">
        <v>1.5863639999999998E-2</v>
      </c>
      <c r="E185" s="48">
        <f t="shared" si="4"/>
        <v>0.25136340887073821</v>
      </c>
      <c r="F185" s="48">
        <f t="shared" si="5"/>
        <v>0.73660558136244469</v>
      </c>
    </row>
    <row r="186" spans="1:6" x14ac:dyDescent="0.25">
      <c r="A186" s="48">
        <v>544</v>
      </c>
      <c r="B186" s="48">
        <v>0.34548279999999998</v>
      </c>
      <c r="C186" s="48">
        <v>0.97602250000000002</v>
      </c>
      <c r="D186" s="48">
        <v>1.458461E-2</v>
      </c>
      <c r="E186" s="48">
        <f t="shared" si="4"/>
        <v>0.25857750845525057</v>
      </c>
      <c r="F186" s="48">
        <f t="shared" si="5"/>
        <v>0.73050660190974714</v>
      </c>
    </row>
    <row r="187" spans="1:6" x14ac:dyDescent="0.25">
      <c r="A187" s="48">
        <v>545</v>
      </c>
      <c r="B187" s="48">
        <v>0.35970000000000002</v>
      </c>
      <c r="C187" s="48">
        <v>0.98029999999999995</v>
      </c>
      <c r="D187" s="48">
        <v>1.34E-2</v>
      </c>
      <c r="E187" s="48">
        <f t="shared" si="4"/>
        <v>0.26577508497118374</v>
      </c>
      <c r="F187" s="48">
        <f t="shared" si="5"/>
        <v>0.72432392492980646</v>
      </c>
    </row>
    <row r="188" spans="1:6" x14ac:dyDescent="0.25">
      <c r="A188" s="48">
        <v>546</v>
      </c>
      <c r="B188" s="48">
        <v>0.37408390000000002</v>
      </c>
      <c r="C188" s="48">
        <v>0.98409239999999998</v>
      </c>
      <c r="D188" s="48">
        <v>1.2307230000000001E-2</v>
      </c>
      <c r="E188" s="48">
        <f t="shared" si="4"/>
        <v>0.27295760351093018</v>
      </c>
      <c r="F188" s="48">
        <f t="shared" si="5"/>
        <v>0.71806218641678965</v>
      </c>
    </row>
    <row r="189" spans="1:6" x14ac:dyDescent="0.25">
      <c r="A189" s="48">
        <v>547</v>
      </c>
      <c r="B189" s="48">
        <v>0.38863959999999997</v>
      </c>
      <c r="C189" s="48">
        <v>0.98741820000000002</v>
      </c>
      <c r="D189" s="48">
        <v>1.130188E-2</v>
      </c>
      <c r="E189" s="48">
        <f t="shared" si="4"/>
        <v>0.28012894248159209</v>
      </c>
      <c r="F189" s="48">
        <f t="shared" si="5"/>
        <v>0.71172473456919272</v>
      </c>
    </row>
    <row r="190" spans="1:6" x14ac:dyDescent="0.25">
      <c r="A190" s="48">
        <v>548</v>
      </c>
      <c r="B190" s="48">
        <v>0.40337840000000003</v>
      </c>
      <c r="C190" s="48">
        <v>0.99031279999999999</v>
      </c>
      <c r="D190" s="48">
        <v>1.0377920000000001E-2</v>
      </c>
      <c r="E190" s="48">
        <f t="shared" si="4"/>
        <v>0.28729240908025949</v>
      </c>
      <c r="F190" s="48">
        <f t="shared" si="5"/>
        <v>0.70531627388828255</v>
      </c>
    </row>
    <row r="191" spans="1:6" x14ac:dyDescent="0.25">
      <c r="A191" s="48">
        <v>549</v>
      </c>
      <c r="B191" s="48">
        <v>0.4183115</v>
      </c>
      <c r="C191" s="48">
        <v>0.99281160000000002</v>
      </c>
      <c r="D191" s="48">
        <v>9.5293059999999995E-3</v>
      </c>
      <c r="E191" s="48">
        <f t="shared" si="4"/>
        <v>0.2944502808943964</v>
      </c>
      <c r="F191" s="48">
        <f t="shared" si="5"/>
        <v>0.69884202202238066</v>
      </c>
    </row>
    <row r="192" spans="1:6" x14ac:dyDescent="0.25">
      <c r="A192" s="48">
        <v>550</v>
      </c>
      <c r="B192" s="48">
        <v>0.4334499</v>
      </c>
      <c r="C192" s="48">
        <v>0.99495009999999995</v>
      </c>
      <c r="D192" s="48">
        <v>8.7499989999999996E-3</v>
      </c>
      <c r="E192" s="48">
        <f t="shared" si="4"/>
        <v>0.30160379939575122</v>
      </c>
      <c r="F192" s="48">
        <f t="shared" si="5"/>
        <v>0.69230776237157421</v>
      </c>
    </row>
    <row r="193" spans="1:6" x14ac:dyDescent="0.25">
      <c r="A193" s="48">
        <v>551</v>
      </c>
      <c r="B193" s="48">
        <v>0.44879530000000001</v>
      </c>
      <c r="C193" s="48">
        <v>0.99671080000000001</v>
      </c>
      <c r="D193" s="48">
        <v>8.0351999999999993E-3</v>
      </c>
      <c r="E193" s="48">
        <f t="shared" si="4"/>
        <v>0.30875992309265654</v>
      </c>
      <c r="F193" s="48">
        <f t="shared" si="5"/>
        <v>0.68571206060674028</v>
      </c>
    </row>
    <row r="194" spans="1:6" x14ac:dyDescent="0.25">
      <c r="A194" s="48">
        <v>552</v>
      </c>
      <c r="B194" s="48">
        <v>0.46433600000000003</v>
      </c>
      <c r="C194" s="48">
        <v>0.99809829999999999</v>
      </c>
      <c r="D194" s="48">
        <v>7.3816000000000003E-3</v>
      </c>
      <c r="E194" s="48">
        <f t="shared" ref="E194:E257" si="6">B194/($B194+$C194+$D194)</f>
        <v>0.31591439444899189</v>
      </c>
      <c r="F194" s="48">
        <f t="shared" ref="F194:F257" si="7">C194/($B194+$C194+$D194)</f>
        <v>0.67906347999092953</v>
      </c>
    </row>
    <row r="195" spans="1:6" x14ac:dyDescent="0.25">
      <c r="A195" s="48">
        <v>553</v>
      </c>
      <c r="B195" s="48">
        <v>0.48006399999999999</v>
      </c>
      <c r="C195" s="48">
        <v>0.999112</v>
      </c>
      <c r="D195" s="48">
        <v>6.7853999999999996E-3</v>
      </c>
      <c r="E195" s="48">
        <f t="shared" si="6"/>
        <v>0.32306626538212901</v>
      </c>
      <c r="F195" s="48">
        <f t="shared" si="7"/>
        <v>0.67236739796874934</v>
      </c>
    </row>
    <row r="196" spans="1:6" x14ac:dyDescent="0.25">
      <c r="A196" s="48">
        <v>554</v>
      </c>
      <c r="B196" s="48">
        <v>0.4959713</v>
      </c>
      <c r="C196" s="48">
        <v>0.99974819999999998</v>
      </c>
      <c r="D196" s="48">
        <v>6.2427999999999997E-3</v>
      </c>
      <c r="E196" s="48">
        <f t="shared" si="6"/>
        <v>0.33021554535689746</v>
      </c>
      <c r="F196" s="48">
        <f t="shared" si="7"/>
        <v>0.66562802541714927</v>
      </c>
    </row>
    <row r="197" spans="1:6" x14ac:dyDescent="0.25">
      <c r="A197" s="48">
        <v>555</v>
      </c>
      <c r="B197" s="48">
        <v>0.51205009999999995</v>
      </c>
      <c r="C197" s="48">
        <v>1</v>
      </c>
      <c r="D197" s="48">
        <v>5.7499990000000004E-3</v>
      </c>
      <c r="E197" s="48">
        <f t="shared" si="6"/>
        <v>0.33736333285085651</v>
      </c>
      <c r="F197" s="48">
        <f t="shared" si="7"/>
        <v>0.65884829013968849</v>
      </c>
    </row>
    <row r="198" spans="1:6" x14ac:dyDescent="0.25">
      <c r="A198" s="48">
        <v>556</v>
      </c>
      <c r="B198" s="48">
        <v>0.52829590000000004</v>
      </c>
      <c r="C198" s="48">
        <v>0.99985670000000004</v>
      </c>
      <c r="D198" s="48">
        <v>5.3036000000000003E-3</v>
      </c>
      <c r="E198" s="48">
        <f t="shared" si="6"/>
        <v>0.34451319835545352</v>
      </c>
      <c r="F198" s="48">
        <f t="shared" si="7"/>
        <v>0.65202820921784399</v>
      </c>
    </row>
    <row r="199" spans="1:6" x14ac:dyDescent="0.25">
      <c r="A199" s="48">
        <v>557</v>
      </c>
      <c r="B199" s="48">
        <v>0.54469160000000005</v>
      </c>
      <c r="C199" s="48">
        <v>0.99930459999999999</v>
      </c>
      <c r="D199" s="48">
        <v>4.8998000000000002E-3</v>
      </c>
      <c r="E199" s="48">
        <f t="shared" si="6"/>
        <v>0.35166441129682047</v>
      </c>
      <c r="F199" s="48">
        <f t="shared" si="7"/>
        <v>0.64517217424539797</v>
      </c>
    </row>
    <row r="200" spans="1:6" x14ac:dyDescent="0.25">
      <c r="A200" s="48">
        <v>558</v>
      </c>
      <c r="B200" s="48">
        <v>0.56120939999999997</v>
      </c>
      <c r="C200" s="48">
        <v>0.99832549999999998</v>
      </c>
      <c r="D200" s="48">
        <v>4.5342000000000004E-3</v>
      </c>
      <c r="E200" s="48">
        <f t="shared" si="6"/>
        <v>0.35881368668430313</v>
      </c>
      <c r="F200" s="48">
        <f t="shared" si="7"/>
        <v>0.63828733653775271</v>
      </c>
    </row>
    <row r="201" spans="1:6" x14ac:dyDescent="0.25">
      <c r="A201" s="48">
        <v>559</v>
      </c>
      <c r="B201" s="48">
        <v>0.57782149999999999</v>
      </c>
      <c r="C201" s="48">
        <v>0.99689870000000003</v>
      </c>
      <c r="D201" s="48">
        <v>4.2024000000000002E-3</v>
      </c>
      <c r="E201" s="48">
        <f t="shared" si="6"/>
        <v>0.36595935734911894</v>
      </c>
      <c r="F201" s="48">
        <f t="shared" si="7"/>
        <v>0.63137908089984907</v>
      </c>
    </row>
    <row r="202" spans="1:6" x14ac:dyDescent="0.25">
      <c r="A202" s="48">
        <v>560</v>
      </c>
      <c r="B202" s="48">
        <v>0.59450000000000003</v>
      </c>
      <c r="C202" s="48">
        <v>0.995</v>
      </c>
      <c r="D202" s="48">
        <v>3.8999999999999998E-3</v>
      </c>
      <c r="E202" s="48">
        <f t="shared" si="6"/>
        <v>0.3731015438684574</v>
      </c>
      <c r="F202" s="48">
        <f t="shared" si="7"/>
        <v>0.62445085979666115</v>
      </c>
    </row>
    <row r="203" spans="1:6" x14ac:dyDescent="0.25">
      <c r="A203" s="48">
        <v>561</v>
      </c>
      <c r="B203" s="48">
        <v>0.61122089999999996</v>
      </c>
      <c r="C203" s="48">
        <v>0.9926005</v>
      </c>
      <c r="D203" s="48">
        <v>3.6232E-3</v>
      </c>
      <c r="E203" s="48">
        <f t="shared" si="6"/>
        <v>0.38024383546406509</v>
      </c>
      <c r="F203" s="48">
        <f t="shared" si="7"/>
        <v>0.61750215217370474</v>
      </c>
    </row>
    <row r="204" spans="1:6" x14ac:dyDescent="0.25">
      <c r="A204" s="48">
        <v>562</v>
      </c>
      <c r="B204" s="48">
        <v>0.62797579999999997</v>
      </c>
      <c r="C204" s="48">
        <v>0.98974260000000003</v>
      </c>
      <c r="D204" s="48">
        <v>3.3706000000000001E-3</v>
      </c>
      <c r="E204" s="48">
        <f t="shared" si="6"/>
        <v>0.38737897795864384</v>
      </c>
      <c r="F204" s="48">
        <f t="shared" si="7"/>
        <v>0.61054180245501632</v>
      </c>
    </row>
    <row r="205" spans="1:6" x14ac:dyDescent="0.25">
      <c r="A205" s="48">
        <v>563</v>
      </c>
      <c r="B205" s="48">
        <v>0.64476020000000001</v>
      </c>
      <c r="C205" s="48">
        <v>0.9864444</v>
      </c>
      <c r="D205" s="48">
        <v>3.1413999999999999E-3</v>
      </c>
      <c r="E205" s="48">
        <f t="shared" si="6"/>
        <v>0.39450654879688879</v>
      </c>
      <c r="F205" s="48">
        <f t="shared" si="7"/>
        <v>0.60357133679159736</v>
      </c>
    </row>
    <row r="206" spans="1:6" x14ac:dyDescent="0.25">
      <c r="A206" s="48">
        <v>564</v>
      </c>
      <c r="B206" s="48">
        <v>0.66156970000000004</v>
      </c>
      <c r="C206" s="48">
        <v>0.98272409999999999</v>
      </c>
      <c r="D206" s="48">
        <v>2.9348E-3</v>
      </c>
      <c r="E206" s="48">
        <f t="shared" si="6"/>
        <v>0.40162591883118104</v>
      </c>
      <c r="F206" s="48">
        <f t="shared" si="7"/>
        <v>0.59659242196256179</v>
      </c>
    </row>
    <row r="207" spans="1:6" x14ac:dyDescent="0.25">
      <c r="A207" s="48">
        <v>565</v>
      </c>
      <c r="B207" s="48">
        <v>0.6784</v>
      </c>
      <c r="C207" s="48">
        <v>0.97860000000000003</v>
      </c>
      <c r="D207" s="48">
        <v>2.7499989999999999E-3</v>
      </c>
      <c r="E207" s="48">
        <f t="shared" si="6"/>
        <v>0.40873625570642341</v>
      </c>
      <c r="F207" s="48">
        <f t="shared" si="7"/>
        <v>0.58960686885953117</v>
      </c>
    </row>
    <row r="208" spans="1:6" x14ac:dyDescent="0.25">
      <c r="A208" s="48">
        <v>566</v>
      </c>
      <c r="B208" s="48">
        <v>0.69523919999999995</v>
      </c>
      <c r="C208" s="48">
        <v>0.9740837</v>
      </c>
      <c r="D208" s="48">
        <v>2.5852000000000002E-3</v>
      </c>
      <c r="E208" s="48">
        <f t="shared" si="6"/>
        <v>0.41583577470555944</v>
      </c>
      <c r="F208" s="48">
        <f t="shared" si="7"/>
        <v>0.5826179680569763</v>
      </c>
    </row>
    <row r="209" spans="1:6" x14ac:dyDescent="0.25">
      <c r="A209" s="48">
        <v>567</v>
      </c>
      <c r="B209" s="48">
        <v>0.71205859999999999</v>
      </c>
      <c r="C209" s="48">
        <v>0.96917120000000001</v>
      </c>
      <c r="D209" s="48">
        <v>2.4386E-3</v>
      </c>
      <c r="E209" s="48">
        <f t="shared" si="6"/>
        <v>0.42292092670979625</v>
      </c>
      <c r="F209" s="48">
        <f t="shared" si="7"/>
        <v>0.57563068832318753</v>
      </c>
    </row>
    <row r="210" spans="1:6" x14ac:dyDescent="0.25">
      <c r="A210" s="48">
        <v>568</v>
      </c>
      <c r="B210" s="48">
        <v>0.72882840000000004</v>
      </c>
      <c r="C210" s="48">
        <v>0.96385679999999996</v>
      </c>
      <c r="D210" s="48">
        <v>2.3094000000000001E-3</v>
      </c>
      <c r="E210" s="48">
        <f t="shared" si="6"/>
        <v>0.42998862651243847</v>
      </c>
      <c r="F210" s="48">
        <f t="shared" si="7"/>
        <v>0.56864889127080398</v>
      </c>
    </row>
    <row r="211" spans="1:6" x14ac:dyDescent="0.25">
      <c r="A211" s="48">
        <v>569</v>
      </c>
      <c r="B211" s="48">
        <v>0.74551880000000004</v>
      </c>
      <c r="C211" s="48">
        <v>0.95813490000000001</v>
      </c>
      <c r="D211" s="48">
        <v>2.1968000000000001E-3</v>
      </c>
      <c r="E211" s="48">
        <f t="shared" si="6"/>
        <v>0.43703642259389081</v>
      </c>
      <c r="F211" s="48">
        <f t="shared" si="7"/>
        <v>0.56167577404936708</v>
      </c>
    </row>
    <row r="212" spans="1:6" x14ac:dyDescent="0.25">
      <c r="A212" s="48">
        <v>570</v>
      </c>
      <c r="B212" s="48">
        <v>0.7621</v>
      </c>
      <c r="C212" s="48">
        <v>0.95199999999999996</v>
      </c>
      <c r="D212" s="48">
        <v>2.0999999999999999E-3</v>
      </c>
      <c r="E212" s="48">
        <f t="shared" si="6"/>
        <v>0.44406246358233309</v>
      </c>
      <c r="F212" s="48">
        <f t="shared" si="7"/>
        <v>0.5547139028085305</v>
      </c>
    </row>
    <row r="213" spans="1:6" x14ac:dyDescent="0.25">
      <c r="A213" s="48">
        <v>571</v>
      </c>
      <c r="B213" s="48">
        <v>0.77854319999999999</v>
      </c>
      <c r="C213" s="48">
        <v>0.94545040000000002</v>
      </c>
      <c r="D213" s="48">
        <v>2.0177329999999999E-3</v>
      </c>
      <c r="E213" s="48">
        <f t="shared" si="6"/>
        <v>0.45106494095076721</v>
      </c>
      <c r="F213" s="48">
        <f t="shared" si="7"/>
        <v>0.54776604412944496</v>
      </c>
    </row>
    <row r="214" spans="1:6" x14ac:dyDescent="0.25">
      <c r="A214" s="48">
        <v>572</v>
      </c>
      <c r="B214" s="48">
        <v>0.79482560000000002</v>
      </c>
      <c r="C214" s="48">
        <v>0.93849919999999998</v>
      </c>
      <c r="D214" s="48">
        <v>1.9482E-3</v>
      </c>
      <c r="E214" s="48">
        <f t="shared" si="6"/>
        <v>0.45804066564742263</v>
      </c>
      <c r="F214" s="48">
        <f t="shared" si="7"/>
        <v>0.54083662916440234</v>
      </c>
    </row>
    <row r="215" spans="1:6" x14ac:dyDescent="0.25">
      <c r="A215" s="48">
        <v>573</v>
      </c>
      <c r="B215" s="48">
        <v>0.81092640000000005</v>
      </c>
      <c r="C215" s="48">
        <v>0.93116279999999996</v>
      </c>
      <c r="D215" s="48">
        <v>1.8898000000000001E-3</v>
      </c>
      <c r="E215" s="48">
        <f t="shared" si="6"/>
        <v>0.46498633297763331</v>
      </c>
      <c r="F215" s="48">
        <f t="shared" si="7"/>
        <v>0.5339300530568315</v>
      </c>
    </row>
    <row r="216" spans="1:6" x14ac:dyDescent="0.25">
      <c r="A216" s="48">
        <v>574</v>
      </c>
      <c r="B216" s="48">
        <v>0.82682480000000003</v>
      </c>
      <c r="C216" s="48">
        <v>0.92345759999999999</v>
      </c>
      <c r="D216" s="48">
        <v>1.8409329999999999E-3</v>
      </c>
      <c r="E216" s="48">
        <f t="shared" si="6"/>
        <v>0.47189874389966813</v>
      </c>
      <c r="F216" s="48">
        <f t="shared" si="7"/>
        <v>0.52705056921926163</v>
      </c>
    </row>
    <row r="217" spans="1:6" x14ac:dyDescent="0.25">
      <c r="A217" s="48">
        <v>575</v>
      </c>
      <c r="B217" s="48">
        <v>0.84250000000000003</v>
      </c>
      <c r="C217" s="48">
        <v>0.91539999999999999</v>
      </c>
      <c r="D217" s="48">
        <v>1.8E-3</v>
      </c>
      <c r="E217" s="48">
        <f t="shared" si="6"/>
        <v>0.4787747911575837</v>
      </c>
      <c r="F217" s="48">
        <f t="shared" si="7"/>
        <v>0.52020230721145644</v>
      </c>
    </row>
    <row r="218" spans="1:6" x14ac:dyDescent="0.25">
      <c r="A218" s="48">
        <v>576</v>
      </c>
      <c r="B218" s="48">
        <v>0.85793249999999999</v>
      </c>
      <c r="C218" s="48">
        <v>0.90700639999999999</v>
      </c>
      <c r="D218" s="48">
        <v>1.766267E-3</v>
      </c>
      <c r="E218" s="48">
        <f t="shared" si="6"/>
        <v>0.48561158705209129</v>
      </c>
      <c r="F218" s="48">
        <f t="shared" si="7"/>
        <v>0.51338866096156044</v>
      </c>
    </row>
    <row r="219" spans="1:6" x14ac:dyDescent="0.25">
      <c r="A219" s="48">
        <v>577</v>
      </c>
      <c r="B219" s="48">
        <v>0.87308160000000001</v>
      </c>
      <c r="C219" s="48">
        <v>0.8982772</v>
      </c>
      <c r="D219" s="48">
        <v>1.7378000000000001E-3</v>
      </c>
      <c r="E219" s="48">
        <f t="shared" si="6"/>
        <v>0.49240498233429586</v>
      </c>
      <c r="F219" s="48">
        <f t="shared" si="7"/>
        <v>0.50661492442092559</v>
      </c>
    </row>
    <row r="220" spans="1:6" x14ac:dyDescent="0.25">
      <c r="A220" s="48">
        <v>578</v>
      </c>
      <c r="B220" s="48">
        <v>0.88789439999999997</v>
      </c>
      <c r="C220" s="48">
        <v>0.88920480000000002</v>
      </c>
      <c r="D220" s="48">
        <v>1.7112E-3</v>
      </c>
      <c r="E220" s="48">
        <f t="shared" si="6"/>
        <v>0.49915066833429805</v>
      </c>
      <c r="F220" s="48">
        <f t="shared" si="7"/>
        <v>0.49988734043830646</v>
      </c>
    </row>
    <row r="221" spans="1:6" x14ac:dyDescent="0.25">
      <c r="A221" s="48">
        <v>579</v>
      </c>
      <c r="B221" s="48">
        <v>0.90231810000000001</v>
      </c>
      <c r="C221" s="48">
        <v>0.87978160000000005</v>
      </c>
      <c r="D221" s="48">
        <v>1.6830669999999999E-3</v>
      </c>
      <c r="E221" s="48">
        <f t="shared" si="6"/>
        <v>0.50584528379402149</v>
      </c>
      <c r="F221" s="48">
        <f t="shared" si="7"/>
        <v>0.49321117810754139</v>
      </c>
    </row>
    <row r="222" spans="1:6" x14ac:dyDescent="0.25">
      <c r="A222" s="48">
        <v>580</v>
      </c>
      <c r="B222" s="48">
        <v>0.9163</v>
      </c>
      <c r="C222" s="48">
        <v>0.87</v>
      </c>
      <c r="D222" s="48">
        <v>1.6500009999999999E-3</v>
      </c>
      <c r="E222" s="48">
        <f t="shared" si="6"/>
        <v>0.51248636678179682</v>
      </c>
      <c r="F222" s="48">
        <f t="shared" si="7"/>
        <v>0.48659078806085698</v>
      </c>
    </row>
    <row r="223" spans="1:6" x14ac:dyDescent="0.25">
      <c r="A223" s="48">
        <v>581</v>
      </c>
      <c r="B223" s="48">
        <v>0.9297995</v>
      </c>
      <c r="C223" s="48">
        <v>0.85986130000000005</v>
      </c>
      <c r="D223" s="48">
        <v>1.6101329999999999E-3</v>
      </c>
      <c r="E223" s="48">
        <f t="shared" si="6"/>
        <v>0.51907251040063629</v>
      </c>
      <c r="F223" s="48">
        <f t="shared" si="7"/>
        <v>0.48002861217644738</v>
      </c>
    </row>
    <row r="224" spans="1:6" x14ac:dyDescent="0.25">
      <c r="A224" s="48">
        <v>582</v>
      </c>
      <c r="B224" s="48">
        <v>0.94279840000000004</v>
      </c>
      <c r="C224" s="48">
        <v>0.84939200000000004</v>
      </c>
      <c r="D224" s="48">
        <v>1.5644000000000001E-3</v>
      </c>
      <c r="E224" s="48">
        <f t="shared" si="6"/>
        <v>0.52560048898545109</v>
      </c>
      <c r="F224" s="48">
        <f t="shared" si="7"/>
        <v>0.47352737397552891</v>
      </c>
    </row>
    <row r="225" spans="1:6" x14ac:dyDescent="0.25">
      <c r="A225" s="48">
        <v>583</v>
      </c>
      <c r="B225" s="48">
        <v>0.95527759999999995</v>
      </c>
      <c r="C225" s="48">
        <v>0.83862199999999998</v>
      </c>
      <c r="D225" s="48">
        <v>1.5135999999999999E-3</v>
      </c>
      <c r="E225" s="48">
        <f t="shared" si="6"/>
        <v>0.53206559916124041</v>
      </c>
      <c r="F225" s="48">
        <f t="shared" si="7"/>
        <v>0.46709136370390947</v>
      </c>
    </row>
    <row r="226" spans="1:6" x14ac:dyDescent="0.25">
      <c r="A226" s="48">
        <v>584</v>
      </c>
      <c r="B226" s="48">
        <v>0.96721789999999996</v>
      </c>
      <c r="C226" s="48">
        <v>0.82758129999999996</v>
      </c>
      <c r="D226" s="48">
        <v>1.4585329999999999E-3</v>
      </c>
      <c r="E226" s="48">
        <f t="shared" si="6"/>
        <v>0.53846276190255371</v>
      </c>
      <c r="F226" s="48">
        <f t="shared" si="7"/>
        <v>0.46072525384084173</v>
      </c>
    </row>
    <row r="227" spans="1:6" x14ac:dyDescent="0.25">
      <c r="A227" s="48">
        <v>585</v>
      </c>
      <c r="B227" s="48">
        <v>0.97860000000000003</v>
      </c>
      <c r="C227" s="48">
        <v>0.81630000000000003</v>
      </c>
      <c r="D227" s="48">
        <v>1.4E-3</v>
      </c>
      <c r="E227" s="48">
        <f t="shared" si="6"/>
        <v>0.54478650559483377</v>
      </c>
      <c r="F227" s="48">
        <f t="shared" si="7"/>
        <v>0.45443411456883592</v>
      </c>
    </row>
    <row r="228" spans="1:6" x14ac:dyDescent="0.25">
      <c r="A228" s="48">
        <v>586</v>
      </c>
      <c r="B228" s="48">
        <v>0.98938559999999998</v>
      </c>
      <c r="C228" s="48">
        <v>0.80479469999999997</v>
      </c>
      <c r="D228" s="48">
        <v>1.3366669999999999E-3</v>
      </c>
      <c r="E228" s="48">
        <f t="shared" si="6"/>
        <v>0.55103105021229248</v>
      </c>
      <c r="F228" s="48">
        <f t="shared" si="7"/>
        <v>0.44822450290997451</v>
      </c>
    </row>
    <row r="229" spans="1:6" x14ac:dyDescent="0.25">
      <c r="A229" s="48">
        <v>587</v>
      </c>
      <c r="B229" s="48">
        <v>0.99954880000000002</v>
      </c>
      <c r="C229" s="48">
        <v>0.79308199999999995</v>
      </c>
      <c r="D229" s="48">
        <v>1.2700000000000001E-3</v>
      </c>
      <c r="E229" s="48">
        <f t="shared" si="6"/>
        <v>0.55719290609603389</v>
      </c>
      <c r="F229" s="48">
        <f t="shared" si="7"/>
        <v>0.44209913948418994</v>
      </c>
    </row>
    <row r="230" spans="1:6" x14ac:dyDescent="0.25">
      <c r="A230" s="48">
        <v>588</v>
      </c>
      <c r="B230" s="48">
        <v>1.0090892</v>
      </c>
      <c r="C230" s="48">
        <v>0.781192</v>
      </c>
      <c r="D230" s="48">
        <v>1.2049999999999999E-3</v>
      </c>
      <c r="E230" s="48">
        <f t="shared" si="6"/>
        <v>0.56326931237315703</v>
      </c>
      <c r="F230" s="48">
        <f t="shared" si="7"/>
        <v>0.43605806173667433</v>
      </c>
    </row>
    <row r="231" spans="1:6" x14ac:dyDescent="0.25">
      <c r="A231" s="48">
        <v>589</v>
      </c>
      <c r="B231" s="48">
        <v>1.0180064</v>
      </c>
      <c r="C231" s="48">
        <v>0.76915469999999997</v>
      </c>
      <c r="D231" s="48">
        <v>1.1466670000000001E-3</v>
      </c>
      <c r="E231" s="48">
        <f t="shared" si="6"/>
        <v>0.56925682412472567</v>
      </c>
      <c r="F231" s="48">
        <f t="shared" si="7"/>
        <v>0.43010197360508357</v>
      </c>
    </row>
    <row r="232" spans="1:6" x14ac:dyDescent="0.25">
      <c r="A232" s="48">
        <v>590</v>
      </c>
      <c r="B232" s="48">
        <v>1.0263</v>
      </c>
      <c r="C232" s="48">
        <v>0.75700000000000001</v>
      </c>
      <c r="D232" s="48">
        <v>1.1000000000000001E-3</v>
      </c>
      <c r="E232" s="48">
        <f t="shared" si="6"/>
        <v>0.57515131136516473</v>
      </c>
      <c r="F232" s="48">
        <f t="shared" si="7"/>
        <v>0.42423223492490469</v>
      </c>
    </row>
    <row r="233" spans="1:6" x14ac:dyDescent="0.25">
      <c r="A233" s="48">
        <v>591</v>
      </c>
      <c r="B233" s="48">
        <v>1.0339826999999999</v>
      </c>
      <c r="C233" s="48">
        <v>0.74475409999999997</v>
      </c>
      <c r="D233" s="48">
        <v>1.0688E-3</v>
      </c>
      <c r="E233" s="48">
        <f t="shared" si="6"/>
        <v>0.58095260516092317</v>
      </c>
      <c r="F233" s="48">
        <f t="shared" si="7"/>
        <v>0.41844687981653728</v>
      </c>
    </row>
    <row r="234" spans="1:6" x14ac:dyDescent="0.25">
      <c r="A234" s="48">
        <v>592</v>
      </c>
      <c r="B234" s="48">
        <v>1.040986</v>
      </c>
      <c r="C234" s="48">
        <v>0.73242240000000003</v>
      </c>
      <c r="D234" s="48">
        <v>1.0494E-3</v>
      </c>
      <c r="E234" s="48">
        <f t="shared" si="6"/>
        <v>0.58665018689089132</v>
      </c>
      <c r="F234" s="48">
        <f t="shared" si="7"/>
        <v>0.41275842119209594</v>
      </c>
    </row>
    <row r="235" spans="1:6" x14ac:dyDescent="0.25">
      <c r="A235" s="48">
        <v>593</v>
      </c>
      <c r="B235" s="48">
        <v>1.047188</v>
      </c>
      <c r="C235" s="48">
        <v>0.72000359999999997</v>
      </c>
      <c r="D235" s="48">
        <v>1.0356E-3</v>
      </c>
      <c r="E235" s="48">
        <f t="shared" si="6"/>
        <v>0.59222480007094114</v>
      </c>
      <c r="F235" s="48">
        <f t="shared" si="7"/>
        <v>0.40718952858546686</v>
      </c>
    </row>
    <row r="236" spans="1:6" x14ac:dyDescent="0.25">
      <c r="A236" s="48">
        <v>594</v>
      </c>
      <c r="B236" s="48">
        <v>1.0524667000000001</v>
      </c>
      <c r="C236" s="48">
        <v>0.70749649999999997</v>
      </c>
      <c r="D236" s="48">
        <v>1.0212000000000001E-3</v>
      </c>
      <c r="E236" s="48">
        <f t="shared" si="6"/>
        <v>0.5976581621052407</v>
      </c>
      <c r="F236" s="48">
        <f t="shared" si="7"/>
        <v>0.40176193497228024</v>
      </c>
    </row>
    <row r="237" spans="1:6" x14ac:dyDescent="0.25">
      <c r="A237" s="48">
        <v>595</v>
      </c>
      <c r="B237" s="48">
        <v>1.0567</v>
      </c>
      <c r="C237" s="48">
        <v>0.69489999999999996</v>
      </c>
      <c r="D237" s="48">
        <v>1E-3</v>
      </c>
      <c r="E237" s="48">
        <f t="shared" si="6"/>
        <v>0.60293278557571617</v>
      </c>
      <c r="F237" s="48">
        <f t="shared" si="7"/>
        <v>0.39649663357297732</v>
      </c>
    </row>
    <row r="238" spans="1:6" x14ac:dyDescent="0.25">
      <c r="A238" s="48">
        <v>596</v>
      </c>
      <c r="B238" s="48">
        <v>1.0597943999999999</v>
      </c>
      <c r="C238" s="48">
        <v>0.68221920000000003</v>
      </c>
      <c r="D238" s="48">
        <v>9.6864E-4</v>
      </c>
      <c r="E238" s="48">
        <f t="shared" si="6"/>
        <v>0.60803511113228548</v>
      </c>
      <c r="F238" s="48">
        <f t="shared" si="7"/>
        <v>0.39140915170770763</v>
      </c>
    </row>
    <row r="239" spans="1:6" x14ac:dyDescent="0.25">
      <c r="A239" s="48">
        <v>597</v>
      </c>
      <c r="B239" s="48">
        <v>1.0617992000000001</v>
      </c>
      <c r="C239" s="48">
        <v>0.66947160000000006</v>
      </c>
      <c r="D239" s="48">
        <v>9.2991999999999999E-4</v>
      </c>
      <c r="E239" s="48">
        <f t="shared" si="6"/>
        <v>0.61297699957081186</v>
      </c>
      <c r="F239" s="48">
        <f t="shared" si="7"/>
        <v>0.38648615733169772</v>
      </c>
    </row>
    <row r="240" spans="1:6" x14ac:dyDescent="0.25">
      <c r="A240" s="48">
        <v>598</v>
      </c>
      <c r="B240" s="48">
        <v>1.0628067999999999</v>
      </c>
      <c r="C240" s="48">
        <v>0.65667439999999999</v>
      </c>
      <c r="D240" s="48">
        <v>8.8688000000000005E-4</v>
      </c>
      <c r="E240" s="48">
        <f t="shared" si="6"/>
        <v>0.61777872558528291</v>
      </c>
      <c r="F240" s="48">
        <f t="shared" si="7"/>
        <v>0.38170575682850383</v>
      </c>
    </row>
    <row r="241" spans="1:6" x14ac:dyDescent="0.25">
      <c r="A241" s="48">
        <v>599</v>
      </c>
      <c r="B241" s="48">
        <v>1.0629096</v>
      </c>
      <c r="C241" s="48">
        <v>0.64384479999999999</v>
      </c>
      <c r="D241" s="48">
        <v>8.4256000000000001E-4</v>
      </c>
      <c r="E241" s="48">
        <f t="shared" si="6"/>
        <v>0.6224592950786233</v>
      </c>
      <c r="F241" s="48">
        <f t="shared" si="7"/>
        <v>0.37704728638073942</v>
      </c>
    </row>
    <row r="242" spans="1:6" x14ac:dyDescent="0.25">
      <c r="A242" s="48">
        <v>600</v>
      </c>
      <c r="B242" s="48">
        <v>1.0622</v>
      </c>
      <c r="C242" s="48">
        <v>0.63100000000000001</v>
      </c>
      <c r="D242" s="48">
        <v>8.0000000000000004E-4</v>
      </c>
      <c r="E242" s="48">
        <f t="shared" si="6"/>
        <v>0.62703659976387249</v>
      </c>
      <c r="F242" s="48">
        <f t="shared" si="7"/>
        <v>0.37249114521841797</v>
      </c>
    </row>
    <row r="243" spans="1:6" x14ac:dyDescent="0.25">
      <c r="A243" s="48">
        <v>601</v>
      </c>
      <c r="B243" s="48">
        <v>1.0607352000000001</v>
      </c>
      <c r="C243" s="48">
        <v>0.61815549999999997</v>
      </c>
      <c r="D243" s="48">
        <v>7.6095999999999998E-4</v>
      </c>
      <c r="E243" s="48">
        <f t="shared" si="6"/>
        <v>0.6315209428602595</v>
      </c>
      <c r="F243" s="48">
        <f t="shared" si="7"/>
        <v>0.36802601082179143</v>
      </c>
    </row>
    <row r="244" spans="1:6" x14ac:dyDescent="0.25">
      <c r="A244" s="48">
        <v>602</v>
      </c>
      <c r="B244" s="48">
        <v>1.0584435999999999</v>
      </c>
      <c r="C244" s="48">
        <v>0.60531440000000003</v>
      </c>
      <c r="D244" s="48">
        <v>7.2367999999999998E-4</v>
      </c>
      <c r="E244" s="48">
        <f t="shared" si="6"/>
        <v>0.63589981957626585</v>
      </c>
      <c r="F244" s="48">
        <f t="shared" si="7"/>
        <v>0.36366540243326684</v>
      </c>
    </row>
    <row r="245" spans="1:6" x14ac:dyDescent="0.25">
      <c r="A245" s="48">
        <v>603</v>
      </c>
      <c r="B245" s="48">
        <v>1.0552244</v>
      </c>
      <c r="C245" s="48">
        <v>0.59247559999999999</v>
      </c>
      <c r="D245" s="48">
        <v>6.8592000000000002E-4</v>
      </c>
      <c r="E245" s="48">
        <f t="shared" si="6"/>
        <v>0.64015615954788063</v>
      </c>
      <c r="F245" s="48">
        <f t="shared" si="7"/>
        <v>0.35942772430378439</v>
      </c>
    </row>
    <row r="246" spans="1:6" x14ac:dyDescent="0.25">
      <c r="A246" s="48">
        <v>604</v>
      </c>
      <c r="B246" s="48">
        <v>1.0509767999999999</v>
      </c>
      <c r="C246" s="48">
        <v>0.57963790000000004</v>
      </c>
      <c r="D246" s="48">
        <v>6.4543999999999995E-4</v>
      </c>
      <c r="E246" s="48">
        <f t="shared" si="6"/>
        <v>0.64427296065727446</v>
      </c>
      <c r="F246" s="48">
        <f t="shared" si="7"/>
        <v>0.35533136977159269</v>
      </c>
    </row>
    <row r="247" spans="1:6" x14ac:dyDescent="0.25">
      <c r="A247" s="48">
        <v>605</v>
      </c>
      <c r="B247" s="48">
        <v>1.0456000000000001</v>
      </c>
      <c r="C247" s="48">
        <v>0.56679999999999997</v>
      </c>
      <c r="D247" s="48">
        <v>5.9999999999999995E-4</v>
      </c>
      <c r="E247" s="48">
        <f t="shared" si="6"/>
        <v>0.64823310601363926</v>
      </c>
      <c r="F247" s="48">
        <f t="shared" si="7"/>
        <v>0.35139491630502168</v>
      </c>
    </row>
    <row r="248" spans="1:6" x14ac:dyDescent="0.25">
      <c r="A248" s="48">
        <v>606</v>
      </c>
      <c r="B248" s="48">
        <v>1.0390368999999999</v>
      </c>
      <c r="C248" s="48">
        <v>0.55396109999999998</v>
      </c>
      <c r="D248" s="48">
        <v>5.4786669999999996E-4</v>
      </c>
      <c r="E248" s="48">
        <f t="shared" si="6"/>
        <v>0.65202823571792956</v>
      </c>
      <c r="F248" s="48">
        <f t="shared" si="7"/>
        <v>0.34762796074842345</v>
      </c>
    </row>
    <row r="249" spans="1:6" x14ac:dyDescent="0.25">
      <c r="A249" s="48">
        <v>607</v>
      </c>
      <c r="B249" s="48">
        <v>1.0313608000000001</v>
      </c>
      <c r="C249" s="48">
        <v>0.54113719999999998</v>
      </c>
      <c r="D249" s="48">
        <v>4.9160000000000002E-4</v>
      </c>
      <c r="E249" s="48">
        <f t="shared" si="6"/>
        <v>0.65566917924950052</v>
      </c>
      <c r="F249" s="48">
        <f t="shared" si="7"/>
        <v>0.34401829484441604</v>
      </c>
    </row>
    <row r="250" spans="1:6" x14ac:dyDescent="0.25">
      <c r="A250" s="48">
        <v>608</v>
      </c>
      <c r="B250" s="48">
        <v>1.0226662</v>
      </c>
      <c r="C250" s="48">
        <v>0.52835279999999996</v>
      </c>
      <c r="D250" s="48">
        <v>4.3540000000000001E-4</v>
      </c>
      <c r="E250" s="48">
        <f t="shared" si="6"/>
        <v>0.65916613469271157</v>
      </c>
      <c r="F250" s="48">
        <f t="shared" si="7"/>
        <v>0.34055322541223254</v>
      </c>
    </row>
    <row r="251" spans="1:6" x14ac:dyDescent="0.25">
      <c r="A251" s="48">
        <v>609</v>
      </c>
      <c r="B251" s="48">
        <v>1.0130477</v>
      </c>
      <c r="C251" s="48">
        <v>0.51563230000000004</v>
      </c>
      <c r="D251" s="48">
        <v>3.8346670000000003E-4</v>
      </c>
      <c r="E251" s="48">
        <f t="shared" si="6"/>
        <v>0.66252822205368822</v>
      </c>
      <c r="F251" s="48">
        <f t="shared" si="7"/>
        <v>0.33722099260721289</v>
      </c>
    </row>
    <row r="252" spans="1:6" x14ac:dyDescent="0.25">
      <c r="A252" s="48">
        <v>610</v>
      </c>
      <c r="B252" s="48">
        <v>1.0025999999999999</v>
      </c>
      <c r="C252" s="48">
        <v>0.503</v>
      </c>
      <c r="D252" s="48">
        <v>3.4000000000000002E-4</v>
      </c>
      <c r="E252" s="48">
        <f t="shared" si="6"/>
        <v>0.66576357623809712</v>
      </c>
      <c r="F252" s="48">
        <f t="shared" si="7"/>
        <v>0.33401065115476053</v>
      </c>
    </row>
    <row r="253" spans="1:6" x14ac:dyDescent="0.25">
      <c r="A253" s="48">
        <v>611</v>
      </c>
      <c r="B253" s="48">
        <v>0.99136749999999996</v>
      </c>
      <c r="C253" s="48">
        <v>0.49046879999999998</v>
      </c>
      <c r="D253" s="48">
        <v>3.072533E-4</v>
      </c>
      <c r="E253" s="48">
        <f t="shared" si="6"/>
        <v>0.66887414366355769</v>
      </c>
      <c r="F253" s="48">
        <f t="shared" si="7"/>
        <v>0.33091855300248674</v>
      </c>
    </row>
    <row r="254" spans="1:6" x14ac:dyDescent="0.25">
      <c r="A254" s="48">
        <v>612</v>
      </c>
      <c r="B254" s="48">
        <v>0.97933139999999996</v>
      </c>
      <c r="C254" s="48">
        <v>0.47803040000000002</v>
      </c>
      <c r="D254" s="48">
        <v>2.8316000000000002E-4</v>
      </c>
      <c r="E254" s="48">
        <f t="shared" si="6"/>
        <v>0.67185866714758857</v>
      </c>
      <c r="F254" s="48">
        <f t="shared" si="7"/>
        <v>0.32794707429990366</v>
      </c>
    </row>
    <row r="255" spans="1:6" x14ac:dyDescent="0.25">
      <c r="A255" s="48">
        <v>613</v>
      </c>
      <c r="B255" s="48">
        <v>0.96649160000000001</v>
      </c>
      <c r="C255" s="48">
        <v>0.46567760000000002</v>
      </c>
      <c r="D255" s="48">
        <v>2.6543999999999998E-4</v>
      </c>
      <c r="E255" s="48">
        <f t="shared" si="6"/>
        <v>0.67471951111151562</v>
      </c>
      <c r="F255" s="48">
        <f t="shared" si="7"/>
        <v>0.32509518200425536</v>
      </c>
    </row>
    <row r="256" spans="1:6" x14ac:dyDescent="0.25">
      <c r="A256" s="48">
        <v>614</v>
      </c>
      <c r="B256" s="48">
        <v>0.95284789999999997</v>
      </c>
      <c r="C256" s="48">
        <v>0.45340320000000001</v>
      </c>
      <c r="D256" s="48">
        <v>2.5181329999999998E-4</v>
      </c>
      <c r="E256" s="48">
        <f t="shared" si="6"/>
        <v>0.67745888827516587</v>
      </c>
      <c r="F256" s="48">
        <f t="shared" si="7"/>
        <v>0.32236207668863276</v>
      </c>
    </row>
    <row r="257" spans="1:6" x14ac:dyDescent="0.25">
      <c r="A257" s="48">
        <v>615</v>
      </c>
      <c r="B257" s="48">
        <v>0.93840000000000001</v>
      </c>
      <c r="C257" s="48">
        <v>0.44119999999999998</v>
      </c>
      <c r="D257" s="48">
        <v>2.4000000000000001E-4</v>
      </c>
      <c r="E257" s="48">
        <f t="shared" si="6"/>
        <v>0.68007884972170685</v>
      </c>
      <c r="F257" s="48">
        <f t="shared" si="7"/>
        <v>0.31974721706864562</v>
      </c>
    </row>
    <row r="258" spans="1:6" x14ac:dyDescent="0.25">
      <c r="A258" s="48">
        <v>616</v>
      </c>
      <c r="B258" s="48">
        <v>0.92319399999999996</v>
      </c>
      <c r="C258" s="48">
        <v>0.42908000000000002</v>
      </c>
      <c r="D258" s="48">
        <v>2.2954670000000001E-4</v>
      </c>
      <c r="E258" s="48">
        <f t="shared" ref="E258:E321" si="8">B258/($B258+$C258+$D258)</f>
        <v>0.68258157418700982</v>
      </c>
      <c r="F258" s="48">
        <f t="shared" ref="F258:F321" si="9">C258/($B258+$C258+$D258)</f>
        <v>0.31724870596230287</v>
      </c>
    </row>
    <row r="259" spans="1:6" x14ac:dyDescent="0.25">
      <c r="A259" s="48">
        <v>617</v>
      </c>
      <c r="B259" s="48">
        <v>0.90724400000000005</v>
      </c>
      <c r="C259" s="48">
        <v>0.41703600000000002</v>
      </c>
      <c r="D259" s="48">
        <v>2.2064E-4</v>
      </c>
      <c r="E259" s="48">
        <f t="shared" si="8"/>
        <v>0.68497060144870903</v>
      </c>
      <c r="F259" s="48">
        <f t="shared" si="9"/>
        <v>0.31486281501532531</v>
      </c>
    </row>
    <row r="260" spans="1:6" x14ac:dyDescent="0.25">
      <c r="A260" s="48">
        <v>618</v>
      </c>
      <c r="B260" s="48">
        <v>0.89050200000000002</v>
      </c>
      <c r="C260" s="48">
        <v>0.405032</v>
      </c>
      <c r="D260" s="48">
        <v>2.1196E-4</v>
      </c>
      <c r="E260" s="48">
        <f t="shared" si="8"/>
        <v>0.6872504545566942</v>
      </c>
      <c r="F260" s="48">
        <f t="shared" si="9"/>
        <v>0.31258596399559685</v>
      </c>
    </row>
    <row r="261" spans="1:6" x14ac:dyDescent="0.25">
      <c r="A261" s="48">
        <v>619</v>
      </c>
      <c r="B261" s="48">
        <v>0.87292000000000003</v>
      </c>
      <c r="C261" s="48">
        <v>0.39303199999999999</v>
      </c>
      <c r="D261" s="48">
        <v>2.021867E-4</v>
      </c>
      <c r="E261" s="48">
        <f t="shared" si="8"/>
        <v>0.68942630302799601</v>
      </c>
      <c r="F261" s="48">
        <f t="shared" si="9"/>
        <v>0.31041401128591317</v>
      </c>
    </row>
    <row r="262" spans="1:6" x14ac:dyDescent="0.25">
      <c r="A262" s="48">
        <v>620</v>
      </c>
      <c r="B262" s="48">
        <v>0.85444989999999998</v>
      </c>
      <c r="C262" s="48">
        <v>0.38100000000000001</v>
      </c>
      <c r="D262" s="48">
        <v>1.9000000000000001E-4</v>
      </c>
      <c r="E262" s="48">
        <f t="shared" si="8"/>
        <v>0.69150397296170196</v>
      </c>
      <c r="F262" s="48">
        <f t="shared" si="9"/>
        <v>0.30834226055665576</v>
      </c>
    </row>
    <row r="263" spans="1:6" x14ac:dyDescent="0.25">
      <c r="A263" s="48">
        <v>621</v>
      </c>
      <c r="B263" s="48">
        <v>0.83508400000000005</v>
      </c>
      <c r="C263" s="48">
        <v>0.36891839999999998</v>
      </c>
      <c r="D263" s="48">
        <v>1.7421329999999999E-4</v>
      </c>
      <c r="E263" s="48">
        <f t="shared" si="8"/>
        <v>0.69348963497263427</v>
      </c>
      <c r="F263" s="48">
        <f t="shared" si="9"/>
        <v>0.30636569081755638</v>
      </c>
    </row>
    <row r="264" spans="1:6" x14ac:dyDescent="0.25">
      <c r="A264" s="48">
        <v>622</v>
      </c>
      <c r="B264" s="48">
        <v>0.81494599999999995</v>
      </c>
      <c r="C264" s="48">
        <v>0.35682720000000001</v>
      </c>
      <c r="D264" s="48">
        <v>1.5563999999999999E-4</v>
      </c>
      <c r="E264" s="48">
        <f t="shared" si="8"/>
        <v>0.69538863810195151</v>
      </c>
      <c r="F264" s="48">
        <f t="shared" si="9"/>
        <v>0.30447855519964845</v>
      </c>
    </row>
    <row r="265" spans="1:6" x14ac:dyDescent="0.25">
      <c r="A265" s="48">
        <v>623</v>
      </c>
      <c r="B265" s="48">
        <v>0.79418599999999995</v>
      </c>
      <c r="C265" s="48">
        <v>0.34477679999999999</v>
      </c>
      <c r="D265" s="48">
        <v>1.3595999999999999E-4</v>
      </c>
      <c r="E265" s="48">
        <f t="shared" si="8"/>
        <v>0.69720556977869075</v>
      </c>
      <c r="F265" s="48">
        <f t="shared" si="9"/>
        <v>0.30267507270396826</v>
      </c>
    </row>
    <row r="266" spans="1:6" x14ac:dyDescent="0.25">
      <c r="A266" s="48">
        <v>624</v>
      </c>
      <c r="B266" s="48">
        <v>0.77295400000000003</v>
      </c>
      <c r="C266" s="48">
        <v>0.33281759999999999</v>
      </c>
      <c r="D266" s="48">
        <v>1.1685329999999999E-4</v>
      </c>
      <c r="E266" s="48">
        <f t="shared" si="8"/>
        <v>0.69894391038579451</v>
      </c>
      <c r="F266" s="48">
        <f t="shared" si="9"/>
        <v>0.30095042497899638</v>
      </c>
    </row>
    <row r="267" spans="1:6" x14ac:dyDescent="0.25">
      <c r="A267" s="48">
        <v>625</v>
      </c>
      <c r="B267" s="48">
        <v>0.75139999999999996</v>
      </c>
      <c r="C267" s="48">
        <v>0.32100000000000001</v>
      </c>
      <c r="D267" s="48">
        <v>1E-4</v>
      </c>
      <c r="E267" s="48">
        <f t="shared" si="8"/>
        <v>0.70060606060606057</v>
      </c>
      <c r="F267" s="48">
        <f t="shared" si="9"/>
        <v>0.2993006993006993</v>
      </c>
    </row>
    <row r="268" spans="1:6" x14ac:dyDescent="0.25">
      <c r="A268" s="48">
        <v>626</v>
      </c>
      <c r="B268" s="48">
        <v>0.7295836</v>
      </c>
      <c r="C268" s="48">
        <v>0.3093381</v>
      </c>
      <c r="D268" s="48">
        <v>8.6133330000000006E-5</v>
      </c>
      <c r="E268" s="48">
        <f t="shared" si="8"/>
        <v>0.70219258854064526</v>
      </c>
      <c r="F268" s="48">
        <f t="shared" si="9"/>
        <v>0.29772451186299281</v>
      </c>
    </row>
    <row r="269" spans="1:6" x14ac:dyDescent="0.25">
      <c r="A269" s="48">
        <v>627</v>
      </c>
      <c r="B269" s="48">
        <v>0.70758880000000002</v>
      </c>
      <c r="C269" s="48">
        <v>0.29785040000000002</v>
      </c>
      <c r="D269" s="48">
        <v>7.4599999999999997E-5</v>
      </c>
      <c r="E269" s="48">
        <f t="shared" si="8"/>
        <v>0.70370869101945688</v>
      </c>
      <c r="F269" s="48">
        <f t="shared" si="9"/>
        <v>0.29621711805447126</v>
      </c>
    </row>
    <row r="270" spans="1:6" x14ac:dyDescent="0.25">
      <c r="A270" s="48">
        <v>628</v>
      </c>
      <c r="B270" s="48">
        <v>0.68560220000000005</v>
      </c>
      <c r="C270" s="48">
        <v>0.2865936</v>
      </c>
      <c r="D270" s="48">
        <v>6.4999999999999994E-5</v>
      </c>
      <c r="E270" s="48">
        <f t="shared" si="8"/>
        <v>0.70516285342369045</v>
      </c>
      <c r="F270" s="48">
        <f t="shared" si="9"/>
        <v>0.29477029208623856</v>
      </c>
    </row>
    <row r="271" spans="1:6" x14ac:dyDescent="0.25">
      <c r="A271" s="48">
        <v>629</v>
      </c>
      <c r="B271" s="48">
        <v>0.66381040000000002</v>
      </c>
      <c r="C271" s="48">
        <v>0.27562449999999999</v>
      </c>
      <c r="D271" s="48">
        <v>5.6933330000000001E-5</v>
      </c>
      <c r="E271" s="48">
        <f t="shared" si="8"/>
        <v>0.70656324669384774</v>
      </c>
      <c r="F271" s="48">
        <f t="shared" si="9"/>
        <v>0.29337615317320792</v>
      </c>
    </row>
    <row r="272" spans="1:6" x14ac:dyDescent="0.25">
      <c r="A272" s="48">
        <v>630</v>
      </c>
      <c r="B272" s="48">
        <v>0.64239999999999997</v>
      </c>
      <c r="C272" s="48">
        <v>0.26500000000000001</v>
      </c>
      <c r="D272" s="48">
        <v>4.9999990000000002E-5</v>
      </c>
      <c r="E272" s="48">
        <f t="shared" si="8"/>
        <v>0.70791779162166424</v>
      </c>
      <c r="F272" s="48">
        <f t="shared" si="9"/>
        <v>0.29202710893483969</v>
      </c>
    </row>
    <row r="273" spans="1:6" x14ac:dyDescent="0.25">
      <c r="A273" s="48">
        <v>631</v>
      </c>
      <c r="B273" s="48">
        <v>0.62151489999999998</v>
      </c>
      <c r="C273" s="48">
        <v>0.25476320000000002</v>
      </c>
      <c r="D273" s="48">
        <v>4.4159999999999997E-5</v>
      </c>
      <c r="E273" s="48">
        <f t="shared" si="8"/>
        <v>0.70923098541397323</v>
      </c>
      <c r="F273" s="48">
        <f t="shared" si="9"/>
        <v>0.29071862216532085</v>
      </c>
    </row>
    <row r="274" spans="1:6" x14ac:dyDescent="0.25">
      <c r="A274" s="48">
        <v>632</v>
      </c>
      <c r="B274" s="48">
        <v>0.60111380000000003</v>
      </c>
      <c r="C274" s="48">
        <v>0.24488960000000001</v>
      </c>
      <c r="D274" s="48">
        <v>3.9480000000000001E-5</v>
      </c>
      <c r="E274" s="48">
        <f t="shared" si="8"/>
        <v>0.71050039449537117</v>
      </c>
      <c r="F274" s="48">
        <f t="shared" si="9"/>
        <v>0.28945294120316928</v>
      </c>
    </row>
    <row r="275" spans="1:6" x14ac:dyDescent="0.25">
      <c r="A275" s="48">
        <v>633</v>
      </c>
      <c r="B275" s="48">
        <v>0.58110519999999999</v>
      </c>
      <c r="C275" s="48">
        <v>0.2353344</v>
      </c>
      <c r="D275" s="48">
        <v>3.5719999999999997E-5</v>
      </c>
      <c r="E275" s="48">
        <f t="shared" si="8"/>
        <v>0.71172414617504909</v>
      </c>
      <c r="F275" s="48">
        <f t="shared" si="9"/>
        <v>0.28823210479895461</v>
      </c>
    </row>
    <row r="276" spans="1:6" x14ac:dyDescent="0.25">
      <c r="A276" s="48">
        <v>634</v>
      </c>
      <c r="B276" s="48">
        <v>0.5613977</v>
      </c>
      <c r="C276" s="48">
        <v>0.2260528</v>
      </c>
      <c r="D276" s="48">
        <v>3.2639999999999999E-5</v>
      </c>
      <c r="E276" s="48">
        <f t="shared" si="8"/>
        <v>0.71290123112984993</v>
      </c>
      <c r="F276" s="48">
        <f t="shared" si="9"/>
        <v>0.28705732036370962</v>
      </c>
    </row>
    <row r="277" spans="1:6" x14ac:dyDescent="0.25">
      <c r="A277" s="48">
        <v>635</v>
      </c>
      <c r="B277" s="48">
        <v>0.54190000000000005</v>
      </c>
      <c r="C277" s="48">
        <v>0.217</v>
      </c>
      <c r="D277" s="48">
        <v>3.0000000000000001E-5</v>
      </c>
      <c r="E277" s="48">
        <f t="shared" si="8"/>
        <v>0.71403159711699371</v>
      </c>
      <c r="F277" s="48">
        <f t="shared" si="9"/>
        <v>0.28592887354564978</v>
      </c>
    </row>
    <row r="278" spans="1:6" x14ac:dyDescent="0.25">
      <c r="A278" s="48">
        <v>636</v>
      </c>
      <c r="B278" s="48">
        <v>0.52259949999999999</v>
      </c>
      <c r="C278" s="48">
        <v>0.2081616</v>
      </c>
      <c r="D278" s="48">
        <v>2.765333E-5</v>
      </c>
      <c r="E278" s="48">
        <f t="shared" si="8"/>
        <v>0.71511705348318533</v>
      </c>
      <c r="F278" s="48">
        <f t="shared" si="9"/>
        <v>0.28484510612877634</v>
      </c>
    </row>
    <row r="279" spans="1:6" x14ac:dyDescent="0.25">
      <c r="A279" s="48">
        <v>637</v>
      </c>
      <c r="B279" s="48">
        <v>0.50354639999999995</v>
      </c>
      <c r="C279" s="48">
        <v>0.1995488</v>
      </c>
      <c r="D279" s="48">
        <v>2.5559999999999999E-5</v>
      </c>
      <c r="E279" s="48">
        <f t="shared" si="8"/>
        <v>0.71615919859911403</v>
      </c>
      <c r="F279" s="48">
        <f t="shared" si="9"/>
        <v>0.28380444918167402</v>
      </c>
    </row>
    <row r="280" spans="1:6" x14ac:dyDescent="0.25">
      <c r="A280" s="48">
        <v>638</v>
      </c>
      <c r="B280" s="48">
        <v>0.4847436</v>
      </c>
      <c r="C280" s="48">
        <v>0.1911552</v>
      </c>
      <c r="D280" s="48">
        <v>2.3640000000000001E-5</v>
      </c>
      <c r="E280" s="48">
        <f t="shared" si="8"/>
        <v>0.71715861364212141</v>
      </c>
      <c r="F280" s="48">
        <f t="shared" si="9"/>
        <v>0.28280641193093098</v>
      </c>
    </row>
    <row r="281" spans="1:6" x14ac:dyDescent="0.25">
      <c r="A281" s="48">
        <v>639</v>
      </c>
      <c r="B281" s="48">
        <v>0.46619389999999999</v>
      </c>
      <c r="C281" s="48">
        <v>0.18297440000000001</v>
      </c>
      <c r="D281" s="48">
        <v>2.1813329999999999E-5</v>
      </c>
      <c r="E281" s="48">
        <f t="shared" si="8"/>
        <v>0.71811614260216206</v>
      </c>
      <c r="F281" s="48">
        <f t="shared" si="9"/>
        <v>0.28185025656265567</v>
      </c>
    </row>
    <row r="282" spans="1:6" x14ac:dyDescent="0.25">
      <c r="A282" s="48">
        <v>640</v>
      </c>
      <c r="B282" s="48">
        <v>0.44790000000000002</v>
      </c>
      <c r="C282" s="48">
        <v>0.17499999999999999</v>
      </c>
      <c r="D282" s="48">
        <v>2.0000000000000002E-5</v>
      </c>
      <c r="E282" s="48">
        <f t="shared" si="8"/>
        <v>0.71903294162974374</v>
      </c>
      <c r="F282" s="48">
        <f t="shared" si="9"/>
        <v>0.28093495151865405</v>
      </c>
    </row>
    <row r="283" spans="1:6" x14ac:dyDescent="0.25">
      <c r="A283" s="48">
        <v>641</v>
      </c>
      <c r="B283" s="48">
        <v>0.4298613</v>
      </c>
      <c r="C283" s="48">
        <v>0.1672235</v>
      </c>
      <c r="D283" s="48">
        <v>1.813333E-5</v>
      </c>
      <c r="E283" s="48">
        <f t="shared" si="8"/>
        <v>0.71991155294229514</v>
      </c>
      <c r="F283" s="48">
        <f t="shared" si="9"/>
        <v>0.28005807820672829</v>
      </c>
    </row>
    <row r="284" spans="1:6" x14ac:dyDescent="0.25">
      <c r="A284" s="48">
        <v>642</v>
      </c>
      <c r="B284" s="48">
        <v>0.41209800000000002</v>
      </c>
      <c r="C284" s="48">
        <v>0.15964639999999999</v>
      </c>
      <c r="D284" s="48">
        <v>1.6200000000000001E-5</v>
      </c>
      <c r="E284" s="48">
        <f t="shared" si="8"/>
        <v>0.72075270663980695</v>
      </c>
      <c r="F284" s="48">
        <f t="shared" si="9"/>
        <v>0.27921895982339456</v>
      </c>
    </row>
    <row r="285" spans="1:6" x14ac:dyDescent="0.25">
      <c r="A285" s="48">
        <v>643</v>
      </c>
      <c r="B285" s="48">
        <v>0.39464399999999999</v>
      </c>
      <c r="C285" s="48">
        <v>0.15227760000000001</v>
      </c>
      <c r="D285" s="48">
        <v>1.42E-5</v>
      </c>
      <c r="E285" s="48">
        <f t="shared" si="8"/>
        <v>0.72155452248691709</v>
      </c>
      <c r="F285" s="48">
        <f t="shared" si="9"/>
        <v>0.27841951468527021</v>
      </c>
    </row>
    <row r="286" spans="1:6" x14ac:dyDescent="0.25">
      <c r="A286" s="48">
        <v>644</v>
      </c>
      <c r="B286" s="48">
        <v>0.37753330000000002</v>
      </c>
      <c r="C286" s="48">
        <v>0.1451259</v>
      </c>
      <c r="D286" s="48">
        <v>1.213333E-5</v>
      </c>
      <c r="E286" s="48">
        <f t="shared" si="8"/>
        <v>0.72231491556020744</v>
      </c>
      <c r="F286" s="48">
        <f t="shared" si="9"/>
        <v>0.27766187036772411</v>
      </c>
    </row>
    <row r="287" spans="1:6" x14ac:dyDescent="0.25">
      <c r="A287" s="48">
        <v>645</v>
      </c>
      <c r="B287" s="48">
        <v>0.36080000000000001</v>
      </c>
      <c r="C287" s="48">
        <v>0.13819999999999999</v>
      </c>
      <c r="D287" s="48">
        <v>1.0000000000000001E-5</v>
      </c>
      <c r="E287" s="48">
        <f t="shared" si="8"/>
        <v>0.72303160257309473</v>
      </c>
      <c r="F287" s="48">
        <f t="shared" si="9"/>
        <v>0.2769483577483417</v>
      </c>
    </row>
    <row r="288" spans="1:6" x14ac:dyDescent="0.25">
      <c r="A288" s="48">
        <v>646</v>
      </c>
      <c r="B288" s="48">
        <v>0.34445629999999999</v>
      </c>
      <c r="C288" s="48">
        <v>0.13150029999999999</v>
      </c>
      <c r="D288" s="48">
        <v>7.7333329999999996E-6</v>
      </c>
      <c r="E288" s="48">
        <f t="shared" si="8"/>
        <v>0.72370191604043421</v>
      </c>
      <c r="F288" s="48">
        <f t="shared" si="9"/>
        <v>0.27628183624422575</v>
      </c>
    </row>
    <row r="289" spans="1:6" x14ac:dyDescent="0.25">
      <c r="A289" s="48">
        <v>647</v>
      </c>
      <c r="B289" s="48">
        <v>0.3285168</v>
      </c>
      <c r="C289" s="48">
        <v>0.12502479999999999</v>
      </c>
      <c r="D289" s="48">
        <v>5.4E-6</v>
      </c>
      <c r="E289" s="48">
        <f t="shared" si="8"/>
        <v>0.72432801892637366</v>
      </c>
      <c r="F289" s="48">
        <f t="shared" si="9"/>
        <v>0.27566007492057054</v>
      </c>
    </row>
    <row r="290" spans="1:6" x14ac:dyDescent="0.25">
      <c r="A290" s="48">
        <v>648</v>
      </c>
      <c r="B290" s="48">
        <v>0.3130192</v>
      </c>
      <c r="C290" s="48">
        <v>0.1187792</v>
      </c>
      <c r="D290" s="48">
        <v>3.1999999999999999E-6</v>
      </c>
      <c r="E290" s="48">
        <f t="shared" si="8"/>
        <v>0.72491440513420979</v>
      </c>
      <c r="F290" s="48">
        <f t="shared" si="9"/>
        <v>0.27507818405489931</v>
      </c>
    </row>
    <row r="291" spans="1:6" x14ac:dyDescent="0.25">
      <c r="A291" s="48">
        <v>649</v>
      </c>
      <c r="B291" s="48">
        <v>0.29800110000000002</v>
      </c>
      <c r="C291" s="48">
        <v>0.1127691</v>
      </c>
      <c r="D291" s="48">
        <v>1.3333330000000001E-6</v>
      </c>
      <c r="E291" s="48">
        <f t="shared" si="8"/>
        <v>0.72546677609818588</v>
      </c>
      <c r="F291" s="48">
        <f t="shared" si="9"/>
        <v>0.2745299779782488</v>
      </c>
    </row>
    <row r="292" spans="1:6" x14ac:dyDescent="0.25">
      <c r="A292" s="48">
        <v>650</v>
      </c>
      <c r="B292" s="48">
        <v>0.28349999999999997</v>
      </c>
      <c r="C292" s="48">
        <v>0.107</v>
      </c>
      <c r="D292" s="48">
        <v>0</v>
      </c>
      <c r="E292" s="48">
        <f t="shared" si="8"/>
        <v>0.72599231754161331</v>
      </c>
      <c r="F292" s="48">
        <f t="shared" si="9"/>
        <v>0.27400768245838669</v>
      </c>
    </row>
    <row r="293" spans="1:6" x14ac:dyDescent="0.25">
      <c r="A293" s="48">
        <v>651</v>
      </c>
      <c r="B293" s="48">
        <v>0.26954479999999997</v>
      </c>
      <c r="C293" s="48">
        <v>0.1014762</v>
      </c>
      <c r="D293" s="48">
        <v>0</v>
      </c>
      <c r="E293" s="48">
        <f t="shared" si="8"/>
        <v>0.72649472671358217</v>
      </c>
      <c r="F293" s="48">
        <f t="shared" si="9"/>
        <v>0.27350527328641777</v>
      </c>
    </row>
    <row r="294" spans="1:6" x14ac:dyDescent="0.25">
      <c r="A294" s="48">
        <v>652</v>
      </c>
      <c r="B294" s="48">
        <v>0.25611840000000002</v>
      </c>
      <c r="C294" s="48">
        <v>9.6188640000000006E-2</v>
      </c>
      <c r="D294" s="48">
        <v>0</v>
      </c>
      <c r="E294" s="48">
        <f t="shared" si="8"/>
        <v>0.726974970468941</v>
      </c>
      <c r="F294" s="48">
        <f t="shared" si="9"/>
        <v>0.27302502953105906</v>
      </c>
    </row>
    <row r="295" spans="1:6" x14ac:dyDescent="0.25">
      <c r="A295" s="48">
        <v>653</v>
      </c>
      <c r="B295" s="48">
        <v>0.24318960000000001</v>
      </c>
      <c r="C295" s="48">
        <v>9.1122960000000003E-2</v>
      </c>
      <c r="D295" s="48">
        <v>0</v>
      </c>
      <c r="E295" s="48">
        <f t="shared" si="8"/>
        <v>0.72743183803803246</v>
      </c>
      <c r="F295" s="48">
        <f t="shared" si="9"/>
        <v>0.27256816196196759</v>
      </c>
    </row>
    <row r="296" spans="1:6" x14ac:dyDescent="0.25">
      <c r="A296" s="48">
        <v>654</v>
      </c>
      <c r="B296" s="48">
        <v>0.23072719999999999</v>
      </c>
      <c r="C296" s="48">
        <v>8.6264850000000004E-2</v>
      </c>
      <c r="D296" s="48">
        <v>0</v>
      </c>
      <c r="E296" s="48">
        <f t="shared" si="8"/>
        <v>0.72786431079265246</v>
      </c>
      <c r="F296" s="48">
        <f t="shared" si="9"/>
        <v>0.27213568920734765</v>
      </c>
    </row>
    <row r="297" spans="1:6" x14ac:dyDescent="0.25">
      <c r="A297" s="48">
        <v>655</v>
      </c>
      <c r="B297" s="48">
        <v>0.21870000000000001</v>
      </c>
      <c r="C297" s="48">
        <v>8.1600000000000006E-2</v>
      </c>
      <c r="D297" s="48">
        <v>0</v>
      </c>
      <c r="E297" s="48">
        <f t="shared" si="8"/>
        <v>0.72827172827172826</v>
      </c>
      <c r="F297" s="48">
        <f t="shared" si="9"/>
        <v>0.27172827172827174</v>
      </c>
    </row>
    <row r="298" spans="1:6" x14ac:dyDescent="0.25">
      <c r="A298" s="48">
        <v>656</v>
      </c>
      <c r="B298" s="48">
        <v>0.20709710000000001</v>
      </c>
      <c r="C298" s="48">
        <v>7.7120640000000004E-2</v>
      </c>
      <c r="D298" s="48">
        <v>0</v>
      </c>
      <c r="E298" s="48">
        <f t="shared" si="8"/>
        <v>0.7286564871003478</v>
      </c>
      <c r="F298" s="48">
        <f t="shared" si="9"/>
        <v>0.27134351289965225</v>
      </c>
    </row>
    <row r="299" spans="1:6" x14ac:dyDescent="0.25">
      <c r="A299" s="48">
        <v>657</v>
      </c>
      <c r="B299" s="48">
        <v>0.19592319999999999</v>
      </c>
      <c r="C299" s="48">
        <v>7.2825520000000005E-2</v>
      </c>
      <c r="D299" s="48">
        <v>0</v>
      </c>
      <c r="E299" s="48">
        <f t="shared" si="8"/>
        <v>0.72902003030935358</v>
      </c>
      <c r="F299" s="48">
        <f t="shared" si="9"/>
        <v>0.27097996969064636</v>
      </c>
    </row>
    <row r="300" spans="1:6" x14ac:dyDescent="0.25">
      <c r="A300" s="48">
        <v>658</v>
      </c>
      <c r="B300" s="48">
        <v>0.1851708</v>
      </c>
      <c r="C300" s="48">
        <v>6.8710080000000007E-2</v>
      </c>
      <c r="D300" s="48">
        <v>0</v>
      </c>
      <c r="E300" s="48">
        <f t="shared" si="8"/>
        <v>0.72936095069467233</v>
      </c>
      <c r="F300" s="48">
        <f t="shared" si="9"/>
        <v>0.27063904930532778</v>
      </c>
    </row>
    <row r="301" spans="1:6" x14ac:dyDescent="0.25">
      <c r="A301" s="48">
        <v>659</v>
      </c>
      <c r="B301" s="48">
        <v>0.1748323</v>
      </c>
      <c r="C301" s="48">
        <v>6.4769759999999996E-2</v>
      </c>
      <c r="D301" s="48">
        <v>0</v>
      </c>
      <c r="E301" s="48">
        <f t="shared" si="8"/>
        <v>0.72967778323775678</v>
      </c>
      <c r="F301" s="48">
        <f t="shared" si="9"/>
        <v>0.27032221676224316</v>
      </c>
    </row>
    <row r="302" spans="1:6" x14ac:dyDescent="0.25">
      <c r="A302" s="48">
        <v>660</v>
      </c>
      <c r="B302" s="48">
        <v>0.16489999999999999</v>
      </c>
      <c r="C302" s="48">
        <v>6.0999999999999999E-2</v>
      </c>
      <c r="D302" s="48">
        <v>0</v>
      </c>
      <c r="E302" s="48">
        <f t="shared" si="8"/>
        <v>0.72996901283753868</v>
      </c>
      <c r="F302" s="48">
        <f t="shared" si="9"/>
        <v>0.27003098716246127</v>
      </c>
    </row>
    <row r="303" spans="1:6" x14ac:dyDescent="0.25">
      <c r="A303" s="48">
        <v>661</v>
      </c>
      <c r="B303" s="48">
        <v>0.1553667</v>
      </c>
      <c r="C303" s="48">
        <v>5.7396210000000003E-2</v>
      </c>
      <c r="D303" s="48">
        <v>0</v>
      </c>
      <c r="E303" s="48">
        <f t="shared" si="8"/>
        <v>0.73023394914085349</v>
      </c>
      <c r="F303" s="48">
        <f t="shared" si="9"/>
        <v>0.26976605085914646</v>
      </c>
    </row>
    <row r="304" spans="1:6" x14ac:dyDescent="0.25">
      <c r="A304" s="48">
        <v>662</v>
      </c>
      <c r="B304" s="48">
        <v>0.14623</v>
      </c>
      <c r="C304" s="48">
        <v>5.3955040000000003E-2</v>
      </c>
      <c r="D304" s="48">
        <v>0</v>
      </c>
      <c r="E304" s="48">
        <f t="shared" si="8"/>
        <v>0.73047416530226228</v>
      </c>
      <c r="F304" s="48">
        <f t="shared" si="9"/>
        <v>0.26952583469773767</v>
      </c>
    </row>
    <row r="305" spans="1:6" x14ac:dyDescent="0.25">
      <c r="A305" s="48">
        <v>663</v>
      </c>
      <c r="B305" s="48">
        <v>0.13749</v>
      </c>
      <c r="C305" s="48">
        <v>5.0673759999999998E-2</v>
      </c>
      <c r="D305" s="48">
        <v>0</v>
      </c>
      <c r="E305" s="48">
        <f t="shared" si="8"/>
        <v>0.73069330672388766</v>
      </c>
      <c r="F305" s="48">
        <f t="shared" si="9"/>
        <v>0.26930669327611223</v>
      </c>
    </row>
    <row r="306" spans="1:6" x14ac:dyDescent="0.25">
      <c r="A306" s="48">
        <v>664</v>
      </c>
      <c r="B306" s="48">
        <v>0.1291467</v>
      </c>
      <c r="C306" s="48">
        <v>4.7549649999999999E-2</v>
      </c>
      <c r="D306" s="48">
        <v>0</v>
      </c>
      <c r="E306" s="48">
        <f t="shared" si="8"/>
        <v>0.73089625224290145</v>
      </c>
      <c r="F306" s="48">
        <f t="shared" si="9"/>
        <v>0.26910374775709855</v>
      </c>
    </row>
    <row r="307" spans="1:6" x14ac:dyDescent="0.25">
      <c r="A307" s="48">
        <v>665</v>
      </c>
      <c r="B307" s="48">
        <v>0.1212</v>
      </c>
      <c r="C307" s="48">
        <v>4.4580000000000002E-2</v>
      </c>
      <c r="D307" s="48">
        <v>0</v>
      </c>
      <c r="E307" s="48">
        <f t="shared" si="8"/>
        <v>0.73108939558450958</v>
      </c>
      <c r="F307" s="48">
        <f t="shared" si="9"/>
        <v>0.26891060441549042</v>
      </c>
    </row>
    <row r="308" spans="1:6" x14ac:dyDescent="0.25">
      <c r="A308" s="48">
        <v>666</v>
      </c>
      <c r="B308" s="48">
        <v>0.1136397</v>
      </c>
      <c r="C308" s="48">
        <v>4.1758719999999999E-2</v>
      </c>
      <c r="D308" s="48">
        <v>0</v>
      </c>
      <c r="E308" s="48">
        <f t="shared" si="8"/>
        <v>0.7312796359190783</v>
      </c>
      <c r="F308" s="48">
        <f t="shared" si="9"/>
        <v>0.26872036408092181</v>
      </c>
    </row>
    <row r="309" spans="1:6" x14ac:dyDescent="0.25">
      <c r="A309" s="48">
        <v>667</v>
      </c>
      <c r="B309" s="48">
        <v>0.106465</v>
      </c>
      <c r="C309" s="48">
        <v>3.9084960000000002E-2</v>
      </c>
      <c r="D309" s="48">
        <v>0</v>
      </c>
      <c r="E309" s="48">
        <f t="shared" si="8"/>
        <v>0.73146705090128505</v>
      </c>
      <c r="F309" s="48">
        <f t="shared" si="9"/>
        <v>0.26853294909871495</v>
      </c>
    </row>
    <row r="310" spans="1:6" x14ac:dyDescent="0.25">
      <c r="A310" s="48">
        <v>668</v>
      </c>
      <c r="B310" s="48">
        <v>9.9690440000000005E-2</v>
      </c>
      <c r="C310" s="48">
        <v>3.656384E-2</v>
      </c>
      <c r="D310" s="48">
        <v>0</v>
      </c>
      <c r="E310" s="48">
        <f t="shared" si="8"/>
        <v>0.73164997092201434</v>
      </c>
      <c r="F310" s="48">
        <f t="shared" si="9"/>
        <v>0.26835002907798566</v>
      </c>
    </row>
    <row r="311" spans="1:6" x14ac:dyDescent="0.25">
      <c r="A311" s="48">
        <v>669</v>
      </c>
      <c r="B311" s="48">
        <v>9.3330609999999994E-2</v>
      </c>
      <c r="C311" s="48">
        <v>3.4200479999999998E-2</v>
      </c>
      <c r="D311" s="48">
        <v>0</v>
      </c>
      <c r="E311" s="48">
        <f t="shared" si="8"/>
        <v>0.73182633348464288</v>
      </c>
      <c r="F311" s="48">
        <f t="shared" si="9"/>
        <v>0.26817366651535718</v>
      </c>
    </row>
    <row r="312" spans="1:6" x14ac:dyDescent="0.25">
      <c r="A312" s="48">
        <v>670</v>
      </c>
      <c r="B312" s="48">
        <v>8.7400000000000005E-2</v>
      </c>
      <c r="C312" s="48">
        <v>3.2000000000000001E-2</v>
      </c>
      <c r="D312" s="48">
        <v>0</v>
      </c>
      <c r="E312" s="48">
        <f t="shared" si="8"/>
        <v>0.73199329983249584</v>
      </c>
      <c r="F312" s="48">
        <f t="shared" si="9"/>
        <v>0.26800670016750416</v>
      </c>
    </row>
    <row r="313" spans="1:6" x14ac:dyDescent="0.25">
      <c r="A313" s="48">
        <v>671</v>
      </c>
      <c r="B313" s="48">
        <v>8.1900959999999995E-2</v>
      </c>
      <c r="C313" s="48">
        <v>2.9962610000000001E-2</v>
      </c>
      <c r="D313" s="48">
        <v>0</v>
      </c>
      <c r="E313" s="48">
        <f t="shared" si="8"/>
        <v>0.732150422161567</v>
      </c>
      <c r="F313" s="48">
        <f t="shared" si="9"/>
        <v>0.26784957783843305</v>
      </c>
    </row>
    <row r="314" spans="1:6" x14ac:dyDescent="0.25">
      <c r="A314" s="48">
        <v>672</v>
      </c>
      <c r="B314" s="48">
        <v>7.6804280000000003E-2</v>
      </c>
      <c r="C314" s="48">
        <v>2.807664E-2</v>
      </c>
      <c r="D314" s="48">
        <v>0</v>
      </c>
      <c r="E314" s="48">
        <f t="shared" si="8"/>
        <v>0.73229983108462438</v>
      </c>
      <c r="F314" s="48">
        <f t="shared" si="9"/>
        <v>0.26770016891537562</v>
      </c>
    </row>
    <row r="315" spans="1:6" x14ac:dyDescent="0.25">
      <c r="A315" s="48">
        <v>673</v>
      </c>
      <c r="B315" s="48">
        <v>7.2077119999999995E-2</v>
      </c>
      <c r="C315" s="48">
        <v>2.632936E-2</v>
      </c>
      <c r="D315" s="48">
        <v>0</v>
      </c>
      <c r="E315" s="48">
        <f t="shared" si="8"/>
        <v>0.73244282287101425</v>
      </c>
      <c r="F315" s="48">
        <f t="shared" si="9"/>
        <v>0.26755717712898586</v>
      </c>
    </row>
    <row r="316" spans="1:6" x14ac:dyDescent="0.25">
      <c r="A316" s="48">
        <v>674</v>
      </c>
      <c r="B316" s="48">
        <v>6.7686640000000006E-2</v>
      </c>
      <c r="C316" s="48">
        <v>2.4708049999999999E-2</v>
      </c>
      <c r="D316" s="48">
        <v>0</v>
      </c>
      <c r="E316" s="48">
        <f t="shared" si="8"/>
        <v>0.732581493590162</v>
      </c>
      <c r="F316" s="48">
        <f t="shared" si="9"/>
        <v>0.26741850640983805</v>
      </c>
    </row>
    <row r="317" spans="1:6" x14ac:dyDescent="0.25">
      <c r="A317" s="48">
        <v>675</v>
      </c>
      <c r="B317" s="48">
        <v>6.3600000000000004E-2</v>
      </c>
      <c r="C317" s="48">
        <v>2.3199999999999998E-2</v>
      </c>
      <c r="D317" s="48">
        <v>0</v>
      </c>
      <c r="E317" s="48">
        <f t="shared" si="8"/>
        <v>0.73271889400921664</v>
      </c>
      <c r="F317" s="48">
        <f t="shared" si="9"/>
        <v>0.26728110599078336</v>
      </c>
    </row>
    <row r="318" spans="1:6" x14ac:dyDescent="0.25">
      <c r="A318" s="48">
        <v>676</v>
      </c>
      <c r="B318" s="48">
        <v>5.9806850000000002E-2</v>
      </c>
      <c r="C318" s="48">
        <v>2.1800770000000001E-2</v>
      </c>
      <c r="D318" s="48">
        <v>0</v>
      </c>
      <c r="E318" s="48">
        <f t="shared" si="8"/>
        <v>0.73285864726847805</v>
      </c>
      <c r="F318" s="48">
        <f t="shared" si="9"/>
        <v>0.2671413527315219</v>
      </c>
    </row>
    <row r="319" spans="1:6" x14ac:dyDescent="0.25">
      <c r="A319" s="48">
        <v>677</v>
      </c>
      <c r="B319" s="48">
        <v>5.6282159999999998E-2</v>
      </c>
      <c r="C319" s="48">
        <v>2.0501120000000001E-2</v>
      </c>
      <c r="D319" s="48">
        <v>0</v>
      </c>
      <c r="E319" s="48">
        <f t="shared" si="8"/>
        <v>0.73300020525301868</v>
      </c>
      <c r="F319" s="48">
        <f t="shared" si="9"/>
        <v>0.26699979474698138</v>
      </c>
    </row>
    <row r="320" spans="1:6" x14ac:dyDescent="0.25">
      <c r="A320" s="48">
        <v>678</v>
      </c>
      <c r="B320" s="48">
        <v>5.2971039999999997E-2</v>
      </c>
      <c r="C320" s="48">
        <v>1.9281079999999999E-2</v>
      </c>
      <c r="D320" s="48">
        <v>0</v>
      </c>
      <c r="E320" s="48">
        <f t="shared" si="8"/>
        <v>0.7331416711371237</v>
      </c>
      <c r="F320" s="48">
        <f t="shared" si="9"/>
        <v>0.26685832886287625</v>
      </c>
    </row>
    <row r="321" spans="1:6" x14ac:dyDescent="0.25">
      <c r="A321" s="48">
        <v>679</v>
      </c>
      <c r="B321" s="48">
        <v>4.9818609999999999E-2</v>
      </c>
      <c r="C321" s="48">
        <v>1.8120689999999998E-2</v>
      </c>
      <c r="D321" s="48">
        <v>0</v>
      </c>
      <c r="E321" s="48">
        <f t="shared" si="8"/>
        <v>0.73328117893472566</v>
      </c>
      <c r="F321" s="48">
        <f t="shared" si="9"/>
        <v>0.26671882106527445</v>
      </c>
    </row>
    <row r="322" spans="1:6" x14ac:dyDescent="0.25">
      <c r="A322" s="48">
        <v>680</v>
      </c>
      <c r="B322" s="48">
        <v>4.6769999999999999E-2</v>
      </c>
      <c r="C322" s="48">
        <v>1.7000000000000001E-2</v>
      </c>
      <c r="D322" s="48">
        <v>0</v>
      </c>
      <c r="E322" s="48">
        <f t="shared" ref="E322:E385" si="10">B322/($B322+$C322+$D322)</f>
        <v>0.73341696722596839</v>
      </c>
      <c r="F322" s="48">
        <f t="shared" ref="F322:F385" si="11">C322/($B322+$C322+$D322)</f>
        <v>0.26658303277403173</v>
      </c>
    </row>
    <row r="323" spans="1:6" x14ac:dyDescent="0.25">
      <c r="A323" s="48">
        <v>681</v>
      </c>
      <c r="B323" s="48">
        <v>4.3784049999999998E-2</v>
      </c>
      <c r="C323" s="48">
        <v>1.5903790000000001E-2</v>
      </c>
      <c r="D323" s="48">
        <v>0</v>
      </c>
      <c r="E323" s="48">
        <f t="shared" si="10"/>
        <v>0.73355058584797173</v>
      </c>
      <c r="F323" s="48">
        <f t="shared" si="11"/>
        <v>0.26644941415202833</v>
      </c>
    </row>
    <row r="324" spans="1:6" x14ac:dyDescent="0.25">
      <c r="A324" s="48">
        <v>682</v>
      </c>
      <c r="B324" s="48">
        <v>4.0875359999999999E-2</v>
      </c>
      <c r="C324" s="48">
        <v>1.483718E-2</v>
      </c>
      <c r="D324" s="48">
        <v>0</v>
      </c>
      <c r="E324" s="48">
        <f t="shared" si="10"/>
        <v>0.73368329643559604</v>
      </c>
      <c r="F324" s="48">
        <f t="shared" si="11"/>
        <v>0.26631670356440401</v>
      </c>
    </row>
    <row r="325" spans="1:6" x14ac:dyDescent="0.25">
      <c r="A325" s="48">
        <v>683</v>
      </c>
      <c r="B325" s="48">
        <v>3.8072639999999998E-2</v>
      </c>
      <c r="C325" s="48">
        <v>1.3810680000000001E-2</v>
      </c>
      <c r="D325" s="48">
        <v>0</v>
      </c>
      <c r="E325" s="48">
        <f t="shared" si="10"/>
        <v>0.73381271668813797</v>
      </c>
      <c r="F325" s="48">
        <f t="shared" si="11"/>
        <v>0.26618728331186209</v>
      </c>
    </row>
    <row r="326" spans="1:6" x14ac:dyDescent="0.25">
      <c r="A326" s="48">
        <v>684</v>
      </c>
      <c r="B326" s="48">
        <v>3.5404610000000003E-2</v>
      </c>
      <c r="C326" s="48">
        <v>1.283478E-2</v>
      </c>
      <c r="D326" s="48">
        <v>0</v>
      </c>
      <c r="E326" s="48">
        <f t="shared" si="10"/>
        <v>0.73393569031449191</v>
      </c>
      <c r="F326" s="48">
        <f t="shared" si="11"/>
        <v>0.26606430968550804</v>
      </c>
    </row>
    <row r="327" spans="1:6" x14ac:dyDescent="0.25">
      <c r="A327" s="48">
        <v>685</v>
      </c>
      <c r="B327" s="48">
        <v>3.2899999999999999E-2</v>
      </c>
      <c r="C327" s="48">
        <v>1.192E-2</v>
      </c>
      <c r="D327" s="48">
        <v>0</v>
      </c>
      <c r="E327" s="48">
        <f t="shared" si="10"/>
        <v>0.73404730031236054</v>
      </c>
      <c r="F327" s="48">
        <f t="shared" si="11"/>
        <v>0.26595269968763946</v>
      </c>
    </row>
    <row r="328" spans="1:6" x14ac:dyDescent="0.25">
      <c r="A328" s="48">
        <v>686</v>
      </c>
      <c r="B328" s="48">
        <v>3.0564190000000001E-2</v>
      </c>
      <c r="C328" s="48">
        <v>1.106831E-2</v>
      </c>
      <c r="D328" s="48">
        <v>0</v>
      </c>
      <c r="E328" s="48">
        <f t="shared" si="10"/>
        <v>0.7341425568966552</v>
      </c>
      <c r="F328" s="48">
        <f t="shared" si="11"/>
        <v>0.26585744310334469</v>
      </c>
    </row>
    <row r="329" spans="1:6" x14ac:dyDescent="0.25">
      <c r="A329" s="48">
        <v>687</v>
      </c>
      <c r="B329" s="48">
        <v>2.8380559999999999E-2</v>
      </c>
      <c r="C329" s="48">
        <v>1.027339E-2</v>
      </c>
      <c r="D329" s="48">
        <v>0</v>
      </c>
      <c r="E329" s="48">
        <f t="shared" si="10"/>
        <v>0.73422147025077644</v>
      </c>
      <c r="F329" s="48">
        <f t="shared" si="11"/>
        <v>0.26577852974922356</v>
      </c>
    </row>
    <row r="330" spans="1:6" x14ac:dyDescent="0.25">
      <c r="A330" s="48">
        <v>688</v>
      </c>
      <c r="B330" s="48">
        <v>2.6344840000000001E-2</v>
      </c>
      <c r="C330" s="48">
        <v>9.5333109999999992E-3</v>
      </c>
      <c r="D330" s="48">
        <v>0</v>
      </c>
      <c r="E330" s="48">
        <f t="shared" si="10"/>
        <v>0.73428644636675966</v>
      </c>
      <c r="F330" s="48">
        <f t="shared" si="11"/>
        <v>0.26571355363324045</v>
      </c>
    </row>
    <row r="331" spans="1:6" x14ac:dyDescent="0.25">
      <c r="A331" s="48">
        <v>689</v>
      </c>
      <c r="B331" s="48">
        <v>2.4452749999999999E-2</v>
      </c>
      <c r="C331" s="48">
        <v>8.8461570000000003E-3</v>
      </c>
      <c r="D331" s="48">
        <v>0</v>
      </c>
      <c r="E331" s="48">
        <f t="shared" si="10"/>
        <v>0.73434091995872408</v>
      </c>
      <c r="F331" s="48">
        <f t="shared" si="11"/>
        <v>0.26565908004127581</v>
      </c>
    </row>
    <row r="332" spans="1:6" x14ac:dyDescent="0.25">
      <c r="A332" s="48">
        <v>690</v>
      </c>
      <c r="B332" s="48">
        <v>2.2700000000000001E-2</v>
      </c>
      <c r="C332" s="48">
        <v>8.2100000000000003E-3</v>
      </c>
      <c r="D332" s="48">
        <v>0</v>
      </c>
      <c r="E332" s="48">
        <f t="shared" si="10"/>
        <v>0.7343901649951472</v>
      </c>
      <c r="F332" s="48">
        <f t="shared" si="11"/>
        <v>0.2656098350048528</v>
      </c>
    </row>
    <row r="333" spans="1:6" x14ac:dyDescent="0.25">
      <c r="A333" s="48">
        <v>691</v>
      </c>
      <c r="B333" s="48">
        <v>2.1084289999999999E-2</v>
      </c>
      <c r="C333" s="48">
        <v>7.6237809999999996E-3</v>
      </c>
      <c r="D333" s="48">
        <v>0</v>
      </c>
      <c r="E333" s="48">
        <f t="shared" si="10"/>
        <v>0.73443771265578939</v>
      </c>
      <c r="F333" s="48">
        <f t="shared" si="11"/>
        <v>0.26556228734421061</v>
      </c>
    </row>
    <row r="334" spans="1:6" x14ac:dyDescent="0.25">
      <c r="A334" s="48">
        <v>692</v>
      </c>
      <c r="B334" s="48">
        <v>1.959988E-2</v>
      </c>
      <c r="C334" s="48">
        <v>7.0854239999999999E-3</v>
      </c>
      <c r="D334" s="48">
        <v>0</v>
      </c>
      <c r="E334" s="48">
        <f t="shared" si="10"/>
        <v>0.73448217041109964</v>
      </c>
      <c r="F334" s="48">
        <f t="shared" si="11"/>
        <v>0.2655178295889003</v>
      </c>
    </row>
    <row r="335" spans="1:6" x14ac:dyDescent="0.25">
      <c r="A335" s="48">
        <v>693</v>
      </c>
      <c r="B335" s="48">
        <v>1.8237320000000001E-2</v>
      </c>
      <c r="C335" s="48">
        <v>6.5914759999999998E-3</v>
      </c>
      <c r="D335" s="48">
        <v>0</v>
      </c>
      <c r="E335" s="48">
        <f t="shared" si="10"/>
        <v>0.73452293055208961</v>
      </c>
      <c r="F335" s="48">
        <f t="shared" si="11"/>
        <v>0.26547706944791039</v>
      </c>
    </row>
    <row r="336" spans="1:6" x14ac:dyDescent="0.25">
      <c r="A336" s="48">
        <v>694</v>
      </c>
      <c r="B336" s="48">
        <v>1.6987169999999999E-2</v>
      </c>
      <c r="C336" s="48">
        <v>6.1384849999999999E-3</v>
      </c>
      <c r="D336" s="48">
        <v>0</v>
      </c>
      <c r="E336" s="48">
        <f t="shared" si="10"/>
        <v>0.73455951842228906</v>
      </c>
      <c r="F336" s="48">
        <f t="shared" si="11"/>
        <v>0.265440481577711</v>
      </c>
    </row>
    <row r="337" spans="1:6" x14ac:dyDescent="0.25">
      <c r="A337" s="48">
        <v>695</v>
      </c>
      <c r="B337" s="48">
        <v>1.584E-2</v>
      </c>
      <c r="C337" s="48">
        <v>5.7229999999999998E-3</v>
      </c>
      <c r="D337" s="48">
        <v>0</v>
      </c>
      <c r="E337" s="48">
        <f t="shared" si="10"/>
        <v>0.73459166164262857</v>
      </c>
      <c r="F337" s="48">
        <f t="shared" si="11"/>
        <v>0.26540833835737143</v>
      </c>
    </row>
    <row r="338" spans="1:6" x14ac:dyDescent="0.25">
      <c r="A338" s="48">
        <v>696</v>
      </c>
      <c r="B338" s="48">
        <v>1.4790640000000001E-2</v>
      </c>
      <c r="C338" s="48">
        <v>5.3430589999999998E-3</v>
      </c>
      <c r="D338" s="48">
        <v>0</v>
      </c>
      <c r="E338" s="48">
        <f t="shared" si="10"/>
        <v>0.73462109471289894</v>
      </c>
      <c r="F338" s="48">
        <f t="shared" si="11"/>
        <v>0.26537890528710095</v>
      </c>
    </row>
    <row r="339" spans="1:6" x14ac:dyDescent="0.25">
      <c r="A339" s="48">
        <v>697</v>
      </c>
      <c r="B339" s="48">
        <v>1.3831319999999999E-2</v>
      </c>
      <c r="C339" s="48">
        <v>4.9957960000000003E-3</v>
      </c>
      <c r="D339" s="48">
        <v>0</v>
      </c>
      <c r="E339" s="48">
        <f t="shared" si="10"/>
        <v>0.73464889683581924</v>
      </c>
      <c r="F339" s="48">
        <f t="shared" si="11"/>
        <v>0.26535110316418092</v>
      </c>
    </row>
    <row r="340" spans="1:6" x14ac:dyDescent="0.25">
      <c r="A340" s="48">
        <v>698</v>
      </c>
      <c r="B340" s="48">
        <v>1.2948680000000001E-2</v>
      </c>
      <c r="C340" s="48">
        <v>4.6764040000000003E-3</v>
      </c>
      <c r="D340" s="48">
        <v>0</v>
      </c>
      <c r="E340" s="48">
        <f t="shared" si="10"/>
        <v>0.73467337801056731</v>
      </c>
      <c r="F340" s="48">
        <f t="shared" si="11"/>
        <v>0.2653266219894328</v>
      </c>
    </row>
    <row r="341" spans="1:6" x14ac:dyDescent="0.25">
      <c r="A341" s="48">
        <v>699</v>
      </c>
      <c r="B341" s="48">
        <v>1.21292E-2</v>
      </c>
      <c r="C341" s="48">
        <v>4.3800749999999998E-3</v>
      </c>
      <c r="D341" s="48">
        <v>0</v>
      </c>
      <c r="E341" s="48">
        <f t="shared" si="10"/>
        <v>0.73469004544415184</v>
      </c>
      <c r="F341" s="48">
        <f t="shared" si="11"/>
        <v>0.26530995455584816</v>
      </c>
    </row>
    <row r="342" spans="1:6" x14ac:dyDescent="0.25">
      <c r="A342" s="48">
        <v>700</v>
      </c>
      <c r="B342" s="48">
        <v>1.135916E-2</v>
      </c>
      <c r="C342" s="48">
        <v>4.1019999999999997E-3</v>
      </c>
      <c r="D342" s="48">
        <v>0</v>
      </c>
      <c r="E342" s="48">
        <f t="shared" si="10"/>
        <v>0.73469002325828081</v>
      </c>
      <c r="F342" s="48">
        <f t="shared" si="11"/>
        <v>0.26530997674171924</v>
      </c>
    </row>
    <row r="343" spans="1:6" x14ac:dyDescent="0.25">
      <c r="A343" s="48">
        <v>701</v>
      </c>
      <c r="B343" s="48">
        <v>1.0629349999999999E-2</v>
      </c>
      <c r="C343" s="48">
        <v>3.8384529999999999E-3</v>
      </c>
      <c r="D343" s="48">
        <v>0</v>
      </c>
      <c r="E343" s="48">
        <f t="shared" si="10"/>
        <v>0.73468998713902856</v>
      </c>
      <c r="F343" s="48">
        <f t="shared" si="11"/>
        <v>0.26531001286097133</v>
      </c>
    </row>
    <row r="344" spans="1:6" x14ac:dyDescent="0.25">
      <c r="A344" s="48">
        <v>702</v>
      </c>
      <c r="B344" s="48">
        <v>9.9388459999999994E-3</v>
      </c>
      <c r="C344" s="48">
        <v>3.5890990000000001E-3</v>
      </c>
      <c r="D344" s="48">
        <v>0</v>
      </c>
      <c r="E344" s="48">
        <f t="shared" si="10"/>
        <v>0.73469000650135696</v>
      </c>
      <c r="F344" s="48">
        <f t="shared" si="11"/>
        <v>0.26530999349864304</v>
      </c>
    </row>
    <row r="345" spans="1:6" x14ac:dyDescent="0.25">
      <c r="A345" s="48">
        <v>703</v>
      </c>
      <c r="B345" s="48">
        <v>9.2884219999999993E-3</v>
      </c>
      <c r="C345" s="48">
        <v>3.3542189999999999E-3</v>
      </c>
      <c r="D345" s="48">
        <v>0</v>
      </c>
      <c r="E345" s="48">
        <f t="shared" si="10"/>
        <v>0.73469000662124306</v>
      </c>
      <c r="F345" s="48">
        <f t="shared" si="11"/>
        <v>0.26530999337875688</v>
      </c>
    </row>
    <row r="346" spans="1:6" x14ac:dyDescent="0.25">
      <c r="A346" s="48">
        <v>704</v>
      </c>
      <c r="B346" s="48">
        <v>8.6788539999999997E-3</v>
      </c>
      <c r="C346" s="48">
        <v>3.1340930000000001E-3</v>
      </c>
      <c r="D346" s="48">
        <v>0</v>
      </c>
      <c r="E346" s="48">
        <f t="shared" si="10"/>
        <v>0.73468999733935991</v>
      </c>
      <c r="F346" s="48">
        <f t="shared" si="11"/>
        <v>0.26531000266064003</v>
      </c>
    </row>
    <row r="347" spans="1:6" x14ac:dyDescent="0.25">
      <c r="A347" s="48">
        <v>705</v>
      </c>
      <c r="B347" s="48">
        <v>8.1109159999999993E-3</v>
      </c>
      <c r="C347" s="48">
        <v>2.9290000000000002E-3</v>
      </c>
      <c r="D347" s="48">
        <v>0</v>
      </c>
      <c r="E347" s="48">
        <f t="shared" si="10"/>
        <v>0.73469001032254222</v>
      </c>
      <c r="F347" s="48">
        <f t="shared" si="11"/>
        <v>0.26530998967745772</v>
      </c>
    </row>
    <row r="348" spans="1:6" x14ac:dyDescent="0.25">
      <c r="A348" s="48">
        <v>706</v>
      </c>
      <c r="B348" s="48">
        <v>7.5823879999999998E-3</v>
      </c>
      <c r="C348" s="48">
        <v>2.7381390000000001E-3</v>
      </c>
      <c r="D348" s="48">
        <v>0</v>
      </c>
      <c r="E348" s="48">
        <f t="shared" si="10"/>
        <v>0.73469000177994792</v>
      </c>
      <c r="F348" s="48">
        <f t="shared" si="11"/>
        <v>0.26530999822005213</v>
      </c>
    </row>
    <row r="349" spans="1:6" x14ac:dyDescent="0.25">
      <c r="A349" s="48">
        <v>707</v>
      </c>
      <c r="B349" s="48">
        <v>7.0887459999999999E-3</v>
      </c>
      <c r="C349" s="48">
        <v>2.559876E-3</v>
      </c>
      <c r="D349" s="48">
        <v>0</v>
      </c>
      <c r="E349" s="48">
        <f t="shared" si="10"/>
        <v>0.73468998992809553</v>
      </c>
      <c r="F349" s="48">
        <f t="shared" si="11"/>
        <v>0.26531001007190458</v>
      </c>
    </row>
    <row r="350" spans="1:6" x14ac:dyDescent="0.25">
      <c r="A350" s="48">
        <v>708</v>
      </c>
      <c r="B350" s="48">
        <v>6.6273130000000001E-3</v>
      </c>
      <c r="C350" s="48">
        <v>2.3932440000000001E-3</v>
      </c>
      <c r="D350" s="48">
        <v>0</v>
      </c>
      <c r="E350" s="48">
        <f t="shared" si="10"/>
        <v>0.73468999752454311</v>
      </c>
      <c r="F350" s="48">
        <f t="shared" si="11"/>
        <v>0.26531000247545689</v>
      </c>
    </row>
    <row r="351" spans="1:6" x14ac:dyDescent="0.25">
      <c r="A351" s="48">
        <v>709</v>
      </c>
      <c r="B351" s="48">
        <v>6.1954080000000003E-3</v>
      </c>
      <c r="C351" s="48">
        <v>2.2372749999999999E-3</v>
      </c>
      <c r="D351" s="48">
        <v>0</v>
      </c>
      <c r="E351" s="48">
        <f t="shared" si="10"/>
        <v>0.73469001502843168</v>
      </c>
      <c r="F351" s="48">
        <f t="shared" si="11"/>
        <v>0.26530998497156838</v>
      </c>
    </row>
    <row r="352" spans="1:6" x14ac:dyDescent="0.25">
      <c r="A352" s="48">
        <v>710</v>
      </c>
      <c r="B352" s="48">
        <v>5.790346E-3</v>
      </c>
      <c r="C352" s="48">
        <v>2.091E-3</v>
      </c>
      <c r="D352" s="48">
        <v>0</v>
      </c>
      <c r="E352" s="48">
        <f t="shared" si="10"/>
        <v>0.73468998823297438</v>
      </c>
      <c r="F352" s="48">
        <f t="shared" si="11"/>
        <v>0.26531001176702557</v>
      </c>
    </row>
    <row r="353" spans="1:6" x14ac:dyDescent="0.25">
      <c r="A353" s="48">
        <v>711</v>
      </c>
      <c r="B353" s="48">
        <v>5.4098260000000004E-3</v>
      </c>
      <c r="C353" s="48">
        <v>1.9535870000000001E-3</v>
      </c>
      <c r="D353" s="48">
        <v>0</v>
      </c>
      <c r="E353" s="48">
        <f t="shared" si="10"/>
        <v>0.73469001399215283</v>
      </c>
      <c r="F353" s="48">
        <f t="shared" si="11"/>
        <v>0.26530998600784717</v>
      </c>
    </row>
    <row r="354" spans="1:6" x14ac:dyDescent="0.25">
      <c r="A354" s="48">
        <v>712</v>
      </c>
      <c r="B354" s="48">
        <v>5.0525830000000002E-3</v>
      </c>
      <c r="C354" s="48">
        <v>1.8245799999999999E-3</v>
      </c>
      <c r="D354" s="48">
        <v>0</v>
      </c>
      <c r="E354" s="48">
        <f t="shared" si="10"/>
        <v>0.7346900167990783</v>
      </c>
      <c r="F354" s="48">
        <f t="shared" si="11"/>
        <v>0.26530998320092164</v>
      </c>
    </row>
    <row r="355" spans="1:6" x14ac:dyDescent="0.25">
      <c r="A355" s="48">
        <v>713</v>
      </c>
      <c r="B355" s="48">
        <v>4.7175120000000001E-3</v>
      </c>
      <c r="C355" s="48">
        <v>1.7035799999999999E-3</v>
      </c>
      <c r="D355" s="48">
        <v>0</v>
      </c>
      <c r="E355" s="48">
        <f t="shared" si="10"/>
        <v>0.73468998731056967</v>
      </c>
      <c r="F355" s="48">
        <f t="shared" si="11"/>
        <v>0.26531001268943039</v>
      </c>
    </row>
    <row r="356" spans="1:6" x14ac:dyDescent="0.25">
      <c r="A356" s="48">
        <v>714</v>
      </c>
      <c r="B356" s="48">
        <v>4.4035070000000001E-3</v>
      </c>
      <c r="C356" s="48">
        <v>1.5901870000000001E-3</v>
      </c>
      <c r="D356" s="48">
        <v>0</v>
      </c>
      <c r="E356" s="48">
        <f t="shared" si="10"/>
        <v>0.73468999251546707</v>
      </c>
      <c r="F356" s="48">
        <f t="shared" si="11"/>
        <v>0.26531000748453293</v>
      </c>
    </row>
    <row r="357" spans="1:6" x14ac:dyDescent="0.25">
      <c r="A357" s="48">
        <v>715</v>
      </c>
      <c r="B357" s="48">
        <v>4.1094570000000004E-3</v>
      </c>
      <c r="C357" s="48">
        <v>1.4840000000000001E-3</v>
      </c>
      <c r="D357" s="48">
        <v>0</v>
      </c>
      <c r="E357" s="48">
        <f t="shared" si="10"/>
        <v>0.73469001370708675</v>
      </c>
      <c r="F357" s="48">
        <f t="shared" si="11"/>
        <v>0.2653099862929133</v>
      </c>
    </row>
    <row r="358" spans="1:6" x14ac:dyDescent="0.25">
      <c r="A358" s="48">
        <v>716</v>
      </c>
      <c r="B358" s="48">
        <v>3.833913E-3</v>
      </c>
      <c r="C358" s="48">
        <v>1.384496E-3</v>
      </c>
      <c r="D358" s="48">
        <v>0</v>
      </c>
      <c r="E358" s="48">
        <f t="shared" si="10"/>
        <v>0.73469001758965224</v>
      </c>
      <c r="F358" s="48">
        <f t="shared" si="11"/>
        <v>0.26530998241034764</v>
      </c>
    </row>
    <row r="359" spans="1:6" x14ac:dyDescent="0.25">
      <c r="A359" s="48">
        <v>717</v>
      </c>
      <c r="B359" s="48">
        <v>3.5757480000000001E-3</v>
      </c>
      <c r="C359" s="48">
        <v>1.2912679999999999E-3</v>
      </c>
      <c r="D359" s="48">
        <v>0</v>
      </c>
      <c r="E359" s="48">
        <f t="shared" si="10"/>
        <v>0.73469000307375198</v>
      </c>
      <c r="F359" s="48">
        <f t="shared" si="11"/>
        <v>0.26530999692624802</v>
      </c>
    </row>
    <row r="360" spans="1:6" x14ac:dyDescent="0.25">
      <c r="A360" s="48">
        <v>718</v>
      </c>
      <c r="B360" s="48">
        <v>3.3343420000000001E-3</v>
      </c>
      <c r="C360" s="48">
        <v>1.2040919999999999E-3</v>
      </c>
      <c r="D360" s="48">
        <v>0</v>
      </c>
      <c r="E360" s="48">
        <f t="shared" si="10"/>
        <v>0.73468998337311942</v>
      </c>
      <c r="F360" s="48">
        <f t="shared" si="11"/>
        <v>0.26531001662688053</v>
      </c>
    </row>
    <row r="361" spans="1:6" x14ac:dyDescent="0.25">
      <c r="A361" s="48">
        <v>719</v>
      </c>
      <c r="B361" s="48">
        <v>3.1090750000000002E-3</v>
      </c>
      <c r="C361" s="48">
        <v>1.122744E-3</v>
      </c>
      <c r="D361" s="48">
        <v>0</v>
      </c>
      <c r="E361" s="48">
        <f t="shared" si="10"/>
        <v>0.73468997610720121</v>
      </c>
      <c r="F361" s="48">
        <f t="shared" si="11"/>
        <v>0.26531002389279879</v>
      </c>
    </row>
    <row r="362" spans="1:6" x14ac:dyDescent="0.25">
      <c r="A362" s="48">
        <v>720</v>
      </c>
      <c r="B362" s="48">
        <v>2.8993270000000002E-3</v>
      </c>
      <c r="C362" s="48">
        <v>1.047E-3</v>
      </c>
      <c r="D362" s="48">
        <v>0</v>
      </c>
      <c r="E362" s="48">
        <f t="shared" si="10"/>
        <v>0.73469000414816099</v>
      </c>
      <c r="F362" s="48">
        <f t="shared" si="11"/>
        <v>0.2653099958518389</v>
      </c>
    </row>
    <row r="363" spans="1:6" x14ac:dyDescent="0.25">
      <c r="A363" s="48">
        <v>721</v>
      </c>
      <c r="B363" s="48">
        <v>2.7043480000000001E-3</v>
      </c>
      <c r="C363" s="48">
        <v>9.7658959999999992E-4</v>
      </c>
      <c r="D363" s="48">
        <v>0</v>
      </c>
      <c r="E363" s="48">
        <f t="shared" si="10"/>
        <v>0.73468998768139948</v>
      </c>
      <c r="F363" s="48">
        <f t="shared" si="11"/>
        <v>0.26531001231860057</v>
      </c>
    </row>
    <row r="364" spans="1:6" x14ac:dyDescent="0.25">
      <c r="A364" s="48">
        <v>722</v>
      </c>
      <c r="B364" s="48">
        <v>2.52302E-3</v>
      </c>
      <c r="C364" s="48">
        <v>9.1110880000000005E-4</v>
      </c>
      <c r="D364" s="48">
        <v>0</v>
      </c>
      <c r="E364" s="48">
        <f t="shared" si="10"/>
        <v>0.73468997435390304</v>
      </c>
      <c r="F364" s="48">
        <f t="shared" si="11"/>
        <v>0.2653100256460969</v>
      </c>
    </row>
    <row r="365" spans="1:6" x14ac:dyDescent="0.25">
      <c r="A365" s="48">
        <v>723</v>
      </c>
      <c r="B365" s="48">
        <v>2.3541679999999998E-3</v>
      </c>
      <c r="C365" s="48">
        <v>8.5013319999999995E-4</v>
      </c>
      <c r="D365" s="48">
        <v>0</v>
      </c>
      <c r="E365" s="48">
        <f t="shared" si="10"/>
        <v>0.73468998482414827</v>
      </c>
      <c r="F365" s="48">
        <f t="shared" si="11"/>
        <v>0.26531001517585179</v>
      </c>
    </row>
    <row r="366" spans="1:6" x14ac:dyDescent="0.25">
      <c r="A366" s="48">
        <v>724</v>
      </c>
      <c r="B366" s="48">
        <v>2.1966160000000002E-3</v>
      </c>
      <c r="C366" s="48">
        <v>7.9323839999999996E-4</v>
      </c>
      <c r="D366" s="48">
        <v>0</v>
      </c>
      <c r="E366" s="48">
        <f t="shared" si="10"/>
        <v>0.73468995680859905</v>
      </c>
      <c r="F366" s="48">
        <f t="shared" si="11"/>
        <v>0.26531004319140084</v>
      </c>
    </row>
    <row r="367" spans="1:6" x14ac:dyDescent="0.25">
      <c r="A367" s="48">
        <v>725</v>
      </c>
      <c r="B367" s="48">
        <v>2.0491900000000002E-3</v>
      </c>
      <c r="C367" s="48">
        <v>7.3999999999999999E-4</v>
      </c>
      <c r="D367" s="48">
        <v>0</v>
      </c>
      <c r="E367" s="48">
        <f t="shared" si="10"/>
        <v>0.7346899996056202</v>
      </c>
      <c r="F367" s="48">
        <f t="shared" si="11"/>
        <v>0.26531000039437969</v>
      </c>
    </row>
    <row r="368" spans="1:6" x14ac:dyDescent="0.25">
      <c r="A368" s="48">
        <v>726</v>
      </c>
      <c r="B368" s="48">
        <v>1.91096E-3</v>
      </c>
      <c r="C368" s="48">
        <v>6.9008269999999998E-4</v>
      </c>
      <c r="D368" s="48">
        <v>0</v>
      </c>
      <c r="E368" s="48">
        <f t="shared" si="10"/>
        <v>0.73468997644675349</v>
      </c>
      <c r="F368" s="48">
        <f t="shared" si="11"/>
        <v>0.26531002355324657</v>
      </c>
    </row>
    <row r="369" spans="1:6" x14ac:dyDescent="0.25">
      <c r="A369" s="48">
        <v>727</v>
      </c>
      <c r="B369" s="48">
        <v>1.781438E-3</v>
      </c>
      <c r="C369" s="48">
        <v>6.4331000000000002E-4</v>
      </c>
      <c r="D369" s="48">
        <v>0</v>
      </c>
      <c r="E369" s="48">
        <f t="shared" si="10"/>
        <v>0.73468995540979931</v>
      </c>
      <c r="F369" s="48">
        <f t="shared" si="11"/>
        <v>0.26531004459020074</v>
      </c>
    </row>
    <row r="370" spans="1:6" x14ac:dyDescent="0.25">
      <c r="A370" s="48">
        <v>728</v>
      </c>
      <c r="B370" s="48">
        <v>1.66011E-3</v>
      </c>
      <c r="C370" s="48">
        <v>5.9949600000000003E-4</v>
      </c>
      <c r="D370" s="48">
        <v>0</v>
      </c>
      <c r="E370" s="48">
        <f t="shared" si="10"/>
        <v>0.73469003003178435</v>
      </c>
      <c r="F370" s="48">
        <f t="shared" si="11"/>
        <v>0.26530996996821571</v>
      </c>
    </row>
    <row r="371" spans="1:6" x14ac:dyDescent="0.25">
      <c r="A371" s="48">
        <v>729</v>
      </c>
      <c r="B371" s="48">
        <v>1.546459E-3</v>
      </c>
      <c r="C371" s="48">
        <v>5.5845470000000003E-4</v>
      </c>
      <c r="D371" s="48">
        <v>0</v>
      </c>
      <c r="E371" s="48">
        <f t="shared" si="10"/>
        <v>0.73468997802617741</v>
      </c>
      <c r="F371" s="48">
        <f t="shared" si="11"/>
        <v>0.26531002197382247</v>
      </c>
    </row>
    <row r="372" spans="1:6" x14ac:dyDescent="0.25">
      <c r="A372" s="48">
        <v>730</v>
      </c>
      <c r="B372" s="48">
        <v>1.439971E-3</v>
      </c>
      <c r="C372" s="48">
        <v>5.1999999999999995E-4</v>
      </c>
      <c r="D372" s="48">
        <v>0</v>
      </c>
      <c r="E372" s="48">
        <f t="shared" si="10"/>
        <v>0.73468995204520882</v>
      </c>
      <c r="F372" s="48">
        <f t="shared" si="11"/>
        <v>0.26531004795479113</v>
      </c>
    </row>
    <row r="373" spans="1:6" x14ac:dyDescent="0.25">
      <c r="A373" s="48">
        <v>731</v>
      </c>
      <c r="B373" s="48">
        <v>1.3400420000000001E-3</v>
      </c>
      <c r="C373" s="48">
        <v>4.8391359999999997E-4</v>
      </c>
      <c r="D373" s="48">
        <v>0</v>
      </c>
      <c r="E373" s="48">
        <f t="shared" si="10"/>
        <v>0.73469003302492664</v>
      </c>
      <c r="F373" s="48">
        <f t="shared" si="11"/>
        <v>0.26530996697507325</v>
      </c>
    </row>
    <row r="374" spans="1:6" x14ac:dyDescent="0.25">
      <c r="A374" s="48">
        <v>732</v>
      </c>
      <c r="B374" s="48">
        <v>1.246275E-3</v>
      </c>
      <c r="C374" s="48">
        <v>4.500528E-4</v>
      </c>
      <c r="D374" s="48">
        <v>0</v>
      </c>
      <c r="E374" s="48">
        <f t="shared" si="10"/>
        <v>0.73468995791968983</v>
      </c>
      <c r="F374" s="48">
        <f t="shared" si="11"/>
        <v>0.26531004208031017</v>
      </c>
    </row>
    <row r="375" spans="1:6" x14ac:dyDescent="0.25">
      <c r="A375" s="48">
        <v>733</v>
      </c>
      <c r="B375" s="48">
        <v>1.1584709999999999E-3</v>
      </c>
      <c r="C375" s="48">
        <v>4.1834519999999999E-4</v>
      </c>
      <c r="D375" s="48">
        <v>0</v>
      </c>
      <c r="E375" s="48">
        <f t="shared" si="10"/>
        <v>0.73468994040015567</v>
      </c>
      <c r="F375" s="48">
        <f t="shared" si="11"/>
        <v>0.26531005959984433</v>
      </c>
    </row>
    <row r="376" spans="1:6" x14ac:dyDescent="0.25">
      <c r="A376" s="48">
        <v>734</v>
      </c>
      <c r="B376" s="48">
        <v>1.07643E-3</v>
      </c>
      <c r="C376" s="48">
        <v>3.887184E-4</v>
      </c>
      <c r="D376" s="48">
        <v>0</v>
      </c>
      <c r="E376" s="48">
        <f t="shared" si="10"/>
        <v>0.73469008327074581</v>
      </c>
      <c r="F376" s="48">
        <f t="shared" si="11"/>
        <v>0.26530991672925419</v>
      </c>
    </row>
    <row r="377" spans="1:6" x14ac:dyDescent="0.25">
      <c r="A377" s="48">
        <v>735</v>
      </c>
      <c r="B377" s="48">
        <v>9.9994930000000008E-4</v>
      </c>
      <c r="C377" s="48">
        <v>3.611E-4</v>
      </c>
      <c r="D377" s="48">
        <v>0</v>
      </c>
      <c r="E377" s="48">
        <f t="shared" si="10"/>
        <v>0.7346899924932917</v>
      </c>
      <c r="F377" s="48">
        <f t="shared" si="11"/>
        <v>0.26531000750670819</v>
      </c>
    </row>
    <row r="378" spans="1:6" x14ac:dyDescent="0.25">
      <c r="A378" s="48">
        <v>736</v>
      </c>
      <c r="B378" s="48">
        <v>9.2873580000000003E-4</v>
      </c>
      <c r="C378" s="48">
        <v>3.3538349999999998E-4</v>
      </c>
      <c r="D378" s="48">
        <v>0</v>
      </c>
      <c r="E378" s="48">
        <f t="shared" si="10"/>
        <v>0.73468999326250295</v>
      </c>
      <c r="F378" s="48">
        <f t="shared" si="11"/>
        <v>0.265310006737497</v>
      </c>
    </row>
    <row r="379" spans="1:6" x14ac:dyDescent="0.25">
      <c r="A379" s="48">
        <v>737</v>
      </c>
      <c r="B379" s="48">
        <v>8.6243319999999997E-4</v>
      </c>
      <c r="C379" s="48">
        <v>3.1144039999999999E-4</v>
      </c>
      <c r="D379" s="48">
        <v>0</v>
      </c>
      <c r="E379" s="48">
        <f t="shared" si="10"/>
        <v>0.73469000410265639</v>
      </c>
      <c r="F379" s="48">
        <f t="shared" si="11"/>
        <v>0.26530999589734361</v>
      </c>
    </row>
    <row r="380" spans="1:6" x14ac:dyDescent="0.25">
      <c r="A380" s="48">
        <v>738</v>
      </c>
      <c r="B380" s="48">
        <v>8.0075030000000002E-4</v>
      </c>
      <c r="C380" s="48">
        <v>2.8916560000000002E-4</v>
      </c>
      <c r="D380" s="48">
        <v>0</v>
      </c>
      <c r="E380" s="48">
        <f t="shared" si="10"/>
        <v>0.73468998846608258</v>
      </c>
      <c r="F380" s="48">
        <f t="shared" si="11"/>
        <v>0.26531001153391748</v>
      </c>
    </row>
    <row r="381" spans="1:6" x14ac:dyDescent="0.25">
      <c r="A381" s="48">
        <v>739</v>
      </c>
      <c r="B381" s="48">
        <v>7.4339600000000001E-4</v>
      </c>
      <c r="C381" s="48">
        <v>2.6845390000000002E-4</v>
      </c>
      <c r="D381" s="48">
        <v>0</v>
      </c>
      <c r="E381" s="48">
        <f t="shared" si="10"/>
        <v>0.73468999700449633</v>
      </c>
      <c r="F381" s="48">
        <f t="shared" si="11"/>
        <v>0.26531000299550356</v>
      </c>
    </row>
    <row r="382" spans="1:6" x14ac:dyDescent="0.25">
      <c r="A382" s="48">
        <v>740</v>
      </c>
      <c r="B382" s="48">
        <v>6.9007859999999999E-4</v>
      </c>
      <c r="C382" s="48">
        <v>2.4919999999999999E-4</v>
      </c>
      <c r="D382" s="48">
        <v>0</v>
      </c>
      <c r="E382" s="48">
        <f t="shared" si="10"/>
        <v>0.734690005712895</v>
      </c>
      <c r="F382" s="48">
        <f t="shared" si="11"/>
        <v>0.265309994287105</v>
      </c>
    </row>
    <row r="383" spans="1:6" x14ac:dyDescent="0.25">
      <c r="A383" s="48">
        <v>741</v>
      </c>
      <c r="B383" s="48">
        <v>6.4051560000000002E-4</v>
      </c>
      <c r="C383" s="48">
        <v>2.3130190000000001E-4</v>
      </c>
      <c r="D383" s="48">
        <v>0</v>
      </c>
      <c r="E383" s="48">
        <f t="shared" si="10"/>
        <v>0.7346900010610018</v>
      </c>
      <c r="F383" s="48">
        <f t="shared" si="11"/>
        <v>0.26530999893899815</v>
      </c>
    </row>
    <row r="384" spans="1:6" x14ac:dyDescent="0.25">
      <c r="A384" s="48">
        <v>742</v>
      </c>
      <c r="B384" s="48">
        <v>5.9450210000000004E-4</v>
      </c>
      <c r="C384" s="48">
        <v>2.1468560000000001E-4</v>
      </c>
      <c r="D384" s="48">
        <v>0</v>
      </c>
      <c r="E384" s="48">
        <f t="shared" si="10"/>
        <v>0.7346899860193129</v>
      </c>
      <c r="F384" s="48">
        <f t="shared" si="11"/>
        <v>0.26531001398068704</v>
      </c>
    </row>
    <row r="385" spans="1:6" x14ac:dyDescent="0.25">
      <c r="A385" s="48">
        <v>743</v>
      </c>
      <c r="B385" s="48">
        <v>5.5186459999999999E-4</v>
      </c>
      <c r="C385" s="48">
        <v>1.9928839999999999E-4</v>
      </c>
      <c r="D385" s="48">
        <v>0</v>
      </c>
      <c r="E385" s="48">
        <f t="shared" si="10"/>
        <v>0.73469000323502676</v>
      </c>
      <c r="F385" s="48">
        <f t="shared" si="11"/>
        <v>0.2653099967649733</v>
      </c>
    </row>
    <row r="386" spans="1:6" x14ac:dyDescent="0.25">
      <c r="A386" s="48">
        <v>744</v>
      </c>
      <c r="B386" s="48">
        <v>5.1242900000000001E-4</v>
      </c>
      <c r="C386" s="48">
        <v>1.8504750000000001E-4</v>
      </c>
      <c r="D386" s="48">
        <v>0</v>
      </c>
      <c r="E386" s="48">
        <f t="shared" ref="E386:E449" si="12">B386/($B386+$C386+$D386)</f>
        <v>0.73468998597085355</v>
      </c>
      <c r="F386" s="48">
        <f t="shared" ref="F386:F449" si="13">C386/($B386+$C386+$D386)</f>
        <v>0.2653100140291465</v>
      </c>
    </row>
    <row r="387" spans="1:6" x14ac:dyDescent="0.25">
      <c r="A387" s="48">
        <v>745</v>
      </c>
      <c r="B387" s="48">
        <v>4.7602130000000002E-4</v>
      </c>
      <c r="C387" s="48">
        <v>1.719E-4</v>
      </c>
      <c r="D387" s="48">
        <v>0</v>
      </c>
      <c r="E387" s="48">
        <f t="shared" si="12"/>
        <v>0.73469000015897001</v>
      </c>
      <c r="F387" s="48">
        <f t="shared" si="13"/>
        <v>0.2653099998410301</v>
      </c>
    </row>
    <row r="388" spans="1:6" x14ac:dyDescent="0.25">
      <c r="A388" s="48">
        <v>746</v>
      </c>
      <c r="B388" s="48">
        <v>4.4245359999999997E-4</v>
      </c>
      <c r="C388" s="48">
        <v>1.5977809999999999E-4</v>
      </c>
      <c r="D388" s="48">
        <v>0</v>
      </c>
      <c r="E388" s="48">
        <f t="shared" si="12"/>
        <v>0.73468998725905665</v>
      </c>
      <c r="F388" s="48">
        <f t="shared" si="13"/>
        <v>0.2653100127409434</v>
      </c>
    </row>
    <row r="389" spans="1:6" x14ac:dyDescent="0.25">
      <c r="A389" s="48">
        <v>747</v>
      </c>
      <c r="B389" s="48">
        <v>4.1151170000000001E-4</v>
      </c>
      <c r="C389" s="48">
        <v>1.4860439999999999E-4</v>
      </c>
      <c r="D389" s="48">
        <v>0</v>
      </c>
      <c r="E389" s="48">
        <f t="shared" si="12"/>
        <v>0.73469000444729227</v>
      </c>
      <c r="F389" s="48">
        <f t="shared" si="13"/>
        <v>0.26530999555270773</v>
      </c>
    </row>
    <row r="390" spans="1:6" x14ac:dyDescent="0.25">
      <c r="A390" s="48">
        <v>748</v>
      </c>
      <c r="B390" s="48">
        <v>3.8298139999999999E-4</v>
      </c>
      <c r="C390" s="48">
        <v>1.383016E-4</v>
      </c>
      <c r="D390" s="48">
        <v>0</v>
      </c>
      <c r="E390" s="48">
        <f t="shared" si="12"/>
        <v>0.73468998605364066</v>
      </c>
      <c r="F390" s="48">
        <f t="shared" si="13"/>
        <v>0.26531001394635928</v>
      </c>
    </row>
    <row r="391" spans="1:6" x14ac:dyDescent="0.25">
      <c r="A391" s="48">
        <v>749</v>
      </c>
      <c r="B391" s="48">
        <v>3.5664909999999999E-4</v>
      </c>
      <c r="C391" s="48">
        <v>1.287925E-4</v>
      </c>
      <c r="D391" s="48">
        <v>0</v>
      </c>
      <c r="E391" s="48">
        <f t="shared" si="12"/>
        <v>0.73469002244554238</v>
      </c>
      <c r="F391" s="48">
        <f t="shared" si="13"/>
        <v>0.26530997755445768</v>
      </c>
    </row>
    <row r="392" spans="1:6" x14ac:dyDescent="0.25">
      <c r="A392" s="48">
        <v>750</v>
      </c>
      <c r="B392" s="48">
        <v>3.323011E-4</v>
      </c>
      <c r="C392" s="48">
        <v>1.2E-4</v>
      </c>
      <c r="D392" s="48">
        <v>0</v>
      </c>
      <c r="E392" s="48">
        <f t="shared" si="12"/>
        <v>0.73469001070304718</v>
      </c>
      <c r="F392" s="48">
        <f t="shared" si="13"/>
        <v>0.26530998929695288</v>
      </c>
    </row>
    <row r="393" spans="1:6" x14ac:dyDescent="0.25">
      <c r="A393" s="48">
        <v>751</v>
      </c>
      <c r="B393" s="48">
        <v>3.0975860000000003E-4</v>
      </c>
      <c r="C393" s="48">
        <v>1.118595E-4</v>
      </c>
      <c r="D393" s="48">
        <v>0</v>
      </c>
      <c r="E393" s="48">
        <f t="shared" si="12"/>
        <v>0.73468999551964209</v>
      </c>
      <c r="F393" s="48">
        <f t="shared" si="13"/>
        <v>0.26531000448035791</v>
      </c>
    </row>
    <row r="394" spans="1:6" x14ac:dyDescent="0.25">
      <c r="A394" s="48">
        <v>752</v>
      </c>
      <c r="B394" s="48">
        <v>2.8888710000000002E-4</v>
      </c>
      <c r="C394" s="48">
        <v>1.043224E-4</v>
      </c>
      <c r="D394" s="48">
        <v>0</v>
      </c>
      <c r="E394" s="48">
        <f t="shared" si="12"/>
        <v>0.73469003164979485</v>
      </c>
      <c r="F394" s="48">
        <f t="shared" si="13"/>
        <v>0.26530996835020515</v>
      </c>
    </row>
    <row r="395" spans="1:6" x14ac:dyDescent="0.25">
      <c r="A395" s="48">
        <v>753</v>
      </c>
      <c r="B395" s="48">
        <v>2.6953939999999998E-4</v>
      </c>
      <c r="C395" s="48">
        <v>9.7335600000000004E-5</v>
      </c>
      <c r="D395" s="48">
        <v>0</v>
      </c>
      <c r="E395" s="48">
        <f t="shared" si="12"/>
        <v>0.73469001703577508</v>
      </c>
      <c r="F395" s="48">
        <f t="shared" si="13"/>
        <v>0.26530998296422487</v>
      </c>
    </row>
    <row r="396" spans="1:6" x14ac:dyDescent="0.25">
      <c r="A396" s="48">
        <v>754</v>
      </c>
      <c r="B396" s="48">
        <v>2.5156819999999999E-4</v>
      </c>
      <c r="C396" s="48">
        <v>9.0845869999999995E-5</v>
      </c>
      <c r="D396" s="48">
        <v>0</v>
      </c>
      <c r="E396" s="48">
        <f t="shared" si="12"/>
        <v>0.73469002018521035</v>
      </c>
      <c r="F396" s="48">
        <f t="shared" si="13"/>
        <v>0.26530997981478976</v>
      </c>
    </row>
    <row r="397" spans="1:6" x14ac:dyDescent="0.25">
      <c r="A397" s="48">
        <v>755</v>
      </c>
      <c r="B397" s="48">
        <v>2.348261E-4</v>
      </c>
      <c r="C397" s="48">
        <v>8.4800000000000001E-5</v>
      </c>
      <c r="D397" s="48">
        <v>0</v>
      </c>
      <c r="E397" s="48">
        <f t="shared" si="12"/>
        <v>0.73469000184903555</v>
      </c>
      <c r="F397" s="48">
        <f t="shared" si="13"/>
        <v>0.26530999815096457</v>
      </c>
    </row>
    <row r="398" spans="1:6" x14ac:dyDescent="0.25">
      <c r="A398" s="48">
        <v>756</v>
      </c>
      <c r="B398" s="48">
        <v>2.1917099999999999E-4</v>
      </c>
      <c r="C398" s="48">
        <v>7.9146669999999997E-5</v>
      </c>
      <c r="D398" s="48">
        <v>0</v>
      </c>
      <c r="E398" s="48">
        <f t="shared" si="12"/>
        <v>0.73468996992367219</v>
      </c>
      <c r="F398" s="48">
        <f t="shared" si="13"/>
        <v>0.2653100300763277</v>
      </c>
    </row>
    <row r="399" spans="1:6" x14ac:dyDescent="0.25">
      <c r="A399" s="48">
        <v>757</v>
      </c>
      <c r="B399" s="48">
        <v>2.045258E-4</v>
      </c>
      <c r="C399" s="48">
        <v>7.3857999999999997E-5</v>
      </c>
      <c r="D399" s="48">
        <v>0</v>
      </c>
      <c r="E399" s="48">
        <f t="shared" si="12"/>
        <v>0.73469002147395068</v>
      </c>
      <c r="F399" s="48">
        <f t="shared" si="13"/>
        <v>0.26530997852604926</v>
      </c>
    </row>
    <row r="400" spans="1:6" x14ac:dyDescent="0.25">
      <c r="A400" s="48">
        <v>758</v>
      </c>
      <c r="B400" s="48">
        <v>1.9084049999999999E-4</v>
      </c>
      <c r="C400" s="48">
        <v>6.8916000000000002E-5</v>
      </c>
      <c r="D400" s="48">
        <v>0</v>
      </c>
      <c r="E400" s="48">
        <f t="shared" si="12"/>
        <v>0.73468998850846845</v>
      </c>
      <c r="F400" s="48">
        <f t="shared" si="13"/>
        <v>0.26531001149153149</v>
      </c>
    </row>
    <row r="401" spans="1:6" x14ac:dyDescent="0.25">
      <c r="A401" s="48">
        <v>759</v>
      </c>
      <c r="B401" s="48">
        <v>1.7806540000000001E-4</v>
      </c>
      <c r="C401" s="48">
        <v>6.4302670000000001E-5</v>
      </c>
      <c r="D401" s="48">
        <v>0</v>
      </c>
      <c r="E401" s="48">
        <f t="shared" si="12"/>
        <v>0.73469001094079767</v>
      </c>
      <c r="F401" s="48">
        <f t="shared" si="13"/>
        <v>0.26530998905920239</v>
      </c>
    </row>
    <row r="402" spans="1:6" x14ac:dyDescent="0.25">
      <c r="A402" s="48">
        <v>760</v>
      </c>
      <c r="B402" s="48">
        <v>1.6615050000000001E-4</v>
      </c>
      <c r="C402" s="48">
        <v>6.0000000000000002E-5</v>
      </c>
      <c r="D402" s="48">
        <v>0</v>
      </c>
      <c r="E402" s="48">
        <f t="shared" si="12"/>
        <v>0.73468995204520882</v>
      </c>
      <c r="F402" s="48">
        <f t="shared" si="13"/>
        <v>0.26531004795479118</v>
      </c>
    </row>
    <row r="403" spans="1:6" x14ac:dyDescent="0.25">
      <c r="A403" s="48">
        <v>761</v>
      </c>
      <c r="B403" s="48">
        <v>1.550236E-4</v>
      </c>
      <c r="C403" s="48">
        <v>5.5981869999999998E-5</v>
      </c>
      <c r="D403" s="48">
        <v>0</v>
      </c>
      <c r="E403" s="48">
        <f t="shared" si="12"/>
        <v>0.73468995851150209</v>
      </c>
      <c r="F403" s="48">
        <f t="shared" si="13"/>
        <v>0.26531004148849791</v>
      </c>
    </row>
    <row r="404" spans="1:6" x14ac:dyDescent="0.25">
      <c r="A404" s="48">
        <v>762</v>
      </c>
      <c r="B404" s="48">
        <v>1.4462190000000001E-4</v>
      </c>
      <c r="C404" s="48">
        <v>5.2225599999999997E-5</v>
      </c>
      <c r="D404" s="48">
        <v>0</v>
      </c>
      <c r="E404" s="48">
        <f t="shared" si="12"/>
        <v>0.73469005194376358</v>
      </c>
      <c r="F404" s="48">
        <f t="shared" si="13"/>
        <v>0.26530994805623642</v>
      </c>
    </row>
    <row r="405" spans="1:6" x14ac:dyDescent="0.25">
      <c r="A405" s="48">
        <v>763</v>
      </c>
      <c r="B405" s="48">
        <v>1.3490980000000001E-4</v>
      </c>
      <c r="C405" s="48">
        <v>4.8718399999999998E-5</v>
      </c>
      <c r="D405" s="48">
        <v>0</v>
      </c>
      <c r="E405" s="48">
        <f t="shared" si="12"/>
        <v>0.73468998770341376</v>
      </c>
      <c r="F405" s="48">
        <f t="shared" si="13"/>
        <v>0.26531001229658624</v>
      </c>
    </row>
    <row r="406" spans="1:6" x14ac:dyDescent="0.25">
      <c r="A406" s="48">
        <v>764</v>
      </c>
      <c r="B406" s="48">
        <v>1.25852E-4</v>
      </c>
      <c r="C406" s="48">
        <v>4.5447469999999999E-5</v>
      </c>
      <c r="D406" s="48">
        <v>0</v>
      </c>
      <c r="E406" s="48">
        <f t="shared" si="12"/>
        <v>0.7346899555497749</v>
      </c>
      <c r="F406" s="48">
        <f t="shared" si="13"/>
        <v>0.2653100444502251</v>
      </c>
    </row>
    <row r="407" spans="1:6" x14ac:dyDescent="0.25">
      <c r="A407" s="48">
        <v>765</v>
      </c>
      <c r="B407" s="48">
        <v>1.17413E-4</v>
      </c>
      <c r="C407" s="48">
        <v>4.2400000000000001E-5</v>
      </c>
      <c r="D407" s="48">
        <v>0</v>
      </c>
      <c r="E407" s="48">
        <f t="shared" si="12"/>
        <v>0.73468991884264734</v>
      </c>
      <c r="F407" s="48">
        <f t="shared" si="13"/>
        <v>0.26531008115735266</v>
      </c>
    </row>
    <row r="408" spans="1:6" x14ac:dyDescent="0.25">
      <c r="A408" s="48">
        <v>766</v>
      </c>
      <c r="B408" s="48">
        <v>1.095515E-4</v>
      </c>
      <c r="C408" s="48">
        <v>3.9561039999999999E-5</v>
      </c>
      <c r="D408" s="48">
        <v>0</v>
      </c>
      <c r="E408" s="48">
        <f t="shared" si="12"/>
        <v>0.73469005356625272</v>
      </c>
      <c r="F408" s="48">
        <f t="shared" si="13"/>
        <v>0.26530994643374728</v>
      </c>
    </row>
    <row r="409" spans="1:6" x14ac:dyDescent="0.25">
      <c r="A409" s="48">
        <v>767</v>
      </c>
      <c r="B409" s="48">
        <v>1.022245E-4</v>
      </c>
      <c r="C409" s="48">
        <v>3.6915120000000003E-5</v>
      </c>
      <c r="D409" s="48">
        <v>0</v>
      </c>
      <c r="E409" s="48">
        <f t="shared" si="12"/>
        <v>0.73469009042859246</v>
      </c>
      <c r="F409" s="48">
        <f t="shared" si="13"/>
        <v>0.26530990957140749</v>
      </c>
    </row>
    <row r="410" spans="1:6" x14ac:dyDescent="0.25">
      <c r="A410" s="48">
        <v>768</v>
      </c>
      <c r="B410" s="48">
        <v>9.5394450000000006E-5</v>
      </c>
      <c r="C410" s="48">
        <v>3.444868E-5</v>
      </c>
      <c r="D410" s="48">
        <v>0</v>
      </c>
      <c r="E410" s="48">
        <f t="shared" si="12"/>
        <v>0.73469000631762349</v>
      </c>
      <c r="F410" s="48">
        <f t="shared" si="13"/>
        <v>0.26530999368237657</v>
      </c>
    </row>
    <row r="411" spans="1:6" x14ac:dyDescent="0.25">
      <c r="A411" s="48">
        <v>769</v>
      </c>
      <c r="B411" s="48">
        <v>8.90239E-5</v>
      </c>
      <c r="C411" s="48">
        <v>3.2148160000000002E-5</v>
      </c>
      <c r="D411" s="48">
        <v>0</v>
      </c>
      <c r="E411" s="48">
        <f t="shared" si="12"/>
        <v>0.73468999371637322</v>
      </c>
      <c r="F411" s="48">
        <f t="shared" si="13"/>
        <v>0.26531000628362678</v>
      </c>
    </row>
    <row r="412" spans="1:6" x14ac:dyDescent="0.25">
      <c r="A412" s="48">
        <v>770</v>
      </c>
      <c r="B412" s="48">
        <v>8.3075270000000005E-5</v>
      </c>
      <c r="C412" s="48">
        <v>3.0000000000000001E-5</v>
      </c>
      <c r="D412" s="48">
        <v>0</v>
      </c>
      <c r="E412" s="48">
        <f t="shared" si="12"/>
        <v>0.73468999897148157</v>
      </c>
      <c r="F412" s="48">
        <f t="shared" si="13"/>
        <v>0.26531000102851843</v>
      </c>
    </row>
    <row r="413" spans="1:6" x14ac:dyDescent="0.25">
      <c r="A413" s="48">
        <v>771</v>
      </c>
      <c r="B413" s="48">
        <v>7.7512689999999993E-5</v>
      </c>
      <c r="C413" s="48">
        <v>2.7991250000000001E-5</v>
      </c>
      <c r="D413" s="48">
        <v>0</v>
      </c>
      <c r="E413" s="48">
        <f t="shared" si="12"/>
        <v>0.7346900030463317</v>
      </c>
      <c r="F413" s="48">
        <f t="shared" si="13"/>
        <v>0.2653099969536683</v>
      </c>
    </row>
    <row r="414" spans="1:6" x14ac:dyDescent="0.25">
      <c r="A414" s="48">
        <v>772</v>
      </c>
      <c r="B414" s="48">
        <v>7.231304E-5</v>
      </c>
      <c r="C414" s="48">
        <v>2.6113560000000001E-5</v>
      </c>
      <c r="D414" s="48">
        <v>0</v>
      </c>
      <c r="E414" s="48">
        <f t="shared" si="12"/>
        <v>0.73469001265917955</v>
      </c>
      <c r="F414" s="48">
        <f t="shared" si="13"/>
        <v>0.26530998734082051</v>
      </c>
    </row>
    <row r="415" spans="1:6" x14ac:dyDescent="0.25">
      <c r="A415" s="48">
        <v>773</v>
      </c>
      <c r="B415" s="48">
        <v>6.7457780000000002E-5</v>
      </c>
      <c r="C415" s="48">
        <v>2.436024E-5</v>
      </c>
      <c r="D415" s="48">
        <v>0</v>
      </c>
      <c r="E415" s="48">
        <f t="shared" si="12"/>
        <v>0.73468998786948359</v>
      </c>
      <c r="F415" s="48">
        <f t="shared" si="13"/>
        <v>0.26531001213051647</v>
      </c>
    </row>
    <row r="416" spans="1:6" x14ac:dyDescent="0.25">
      <c r="A416" s="48">
        <v>774</v>
      </c>
      <c r="B416" s="48">
        <v>6.2928439999999995E-5</v>
      </c>
      <c r="C416" s="48">
        <v>2.272461E-5</v>
      </c>
      <c r="D416" s="48">
        <v>0</v>
      </c>
      <c r="E416" s="48">
        <f t="shared" si="12"/>
        <v>0.73469000811996776</v>
      </c>
      <c r="F416" s="48">
        <f t="shared" si="13"/>
        <v>0.26530999188003229</v>
      </c>
    </row>
    <row r="417" spans="1:6" x14ac:dyDescent="0.25">
      <c r="A417" s="48">
        <v>775</v>
      </c>
      <c r="B417" s="48">
        <v>5.8706519999999999E-5</v>
      </c>
      <c r="C417" s="48">
        <v>2.12E-5</v>
      </c>
      <c r="D417" s="48">
        <v>0</v>
      </c>
      <c r="E417" s="48">
        <f t="shared" si="12"/>
        <v>0.73468998524776197</v>
      </c>
      <c r="F417" s="48">
        <f t="shared" si="13"/>
        <v>0.26531001475223798</v>
      </c>
    </row>
    <row r="418" spans="1:6" x14ac:dyDescent="0.25">
      <c r="A418" s="48">
        <v>776</v>
      </c>
      <c r="B418" s="48">
        <v>5.4770279999999998E-5</v>
      </c>
      <c r="C418" s="48">
        <v>1.9778550000000001E-5</v>
      </c>
      <c r="D418" s="48">
        <v>0</v>
      </c>
      <c r="E418" s="48">
        <f t="shared" si="12"/>
        <v>0.73469000117104455</v>
      </c>
      <c r="F418" s="48">
        <f t="shared" si="13"/>
        <v>0.26530999882895551</v>
      </c>
    </row>
    <row r="419" spans="1:6" x14ac:dyDescent="0.25">
      <c r="A419" s="48">
        <v>777</v>
      </c>
      <c r="B419" s="48">
        <v>5.1099179999999999E-5</v>
      </c>
      <c r="C419" s="48">
        <v>1.8452850000000001E-5</v>
      </c>
      <c r="D419" s="48">
        <v>0</v>
      </c>
      <c r="E419" s="48">
        <f t="shared" si="12"/>
        <v>0.73468998676242803</v>
      </c>
      <c r="F419" s="48">
        <f t="shared" si="13"/>
        <v>0.26531001323757192</v>
      </c>
    </row>
    <row r="420" spans="1:6" x14ac:dyDescent="0.25">
      <c r="A420" s="48">
        <v>778</v>
      </c>
      <c r="B420" s="48">
        <v>4.7676539999999999E-5</v>
      </c>
      <c r="C420" s="48">
        <v>1.7216869999999999E-5</v>
      </c>
      <c r="D420" s="48">
        <v>0</v>
      </c>
      <c r="E420" s="48">
        <f t="shared" si="12"/>
        <v>0.73469000935534146</v>
      </c>
      <c r="F420" s="48">
        <f t="shared" si="13"/>
        <v>0.26530999064465871</v>
      </c>
    </row>
    <row r="421" spans="1:6" x14ac:dyDescent="0.25">
      <c r="A421" s="48">
        <v>779</v>
      </c>
      <c r="B421" s="48">
        <v>4.4485669999999998E-5</v>
      </c>
      <c r="C421" s="48">
        <v>1.6064590000000001E-5</v>
      </c>
      <c r="D421" s="48">
        <v>0</v>
      </c>
      <c r="E421" s="48">
        <f t="shared" si="12"/>
        <v>0.73468999142200209</v>
      </c>
      <c r="F421" s="48">
        <f t="shared" si="13"/>
        <v>0.26531000857799786</v>
      </c>
    </row>
    <row r="422" spans="1:6" x14ac:dyDescent="0.25">
      <c r="A422" s="48">
        <v>780</v>
      </c>
      <c r="B422" s="48">
        <v>4.1509940000000003E-5</v>
      </c>
      <c r="C422" s="48">
        <v>1.499E-5</v>
      </c>
      <c r="D422" s="48">
        <v>0</v>
      </c>
      <c r="E422" s="48">
        <f t="shared" si="12"/>
        <v>0.73468998374157568</v>
      </c>
      <c r="F422" s="48">
        <f t="shared" si="13"/>
        <v>0.26531001625842437</v>
      </c>
    </row>
    <row r="423" spans="1:6" x14ac:dyDescent="0.25">
      <c r="A423" s="48">
        <v>781</v>
      </c>
      <c r="B423" s="48">
        <v>3.873324E-5</v>
      </c>
      <c r="C423" s="48">
        <v>1.3987279999999999E-5</v>
      </c>
      <c r="D423" s="48">
        <v>0</v>
      </c>
      <c r="E423" s="48">
        <f t="shared" si="12"/>
        <v>0.73469002202557943</v>
      </c>
      <c r="F423" s="48">
        <f t="shared" si="13"/>
        <v>0.26530997797442057</v>
      </c>
    </row>
    <row r="424" spans="1:6" x14ac:dyDescent="0.25">
      <c r="A424" s="48">
        <v>782</v>
      </c>
      <c r="B424" s="48">
        <v>3.6142030000000003E-5</v>
      </c>
      <c r="C424" s="48">
        <v>1.305155E-5</v>
      </c>
      <c r="D424" s="48">
        <v>0</v>
      </c>
      <c r="E424" s="48">
        <f t="shared" si="12"/>
        <v>0.73468997377300049</v>
      </c>
      <c r="F424" s="48">
        <f t="shared" si="13"/>
        <v>0.26531002622699956</v>
      </c>
    </row>
    <row r="425" spans="1:6" x14ac:dyDescent="0.25">
      <c r="A425" s="48">
        <v>783</v>
      </c>
      <c r="B425" s="48">
        <v>3.3723519999999998E-5</v>
      </c>
      <c r="C425" s="48">
        <v>1.217818E-5</v>
      </c>
      <c r="D425" s="48">
        <v>0</v>
      </c>
      <c r="E425" s="48">
        <f t="shared" si="12"/>
        <v>0.73469000058821343</v>
      </c>
      <c r="F425" s="48">
        <f t="shared" si="13"/>
        <v>0.26530999941178646</v>
      </c>
    </row>
    <row r="426" spans="1:6" x14ac:dyDescent="0.25">
      <c r="A426" s="48">
        <v>784</v>
      </c>
      <c r="B426" s="48">
        <v>3.1464870000000002E-5</v>
      </c>
      <c r="C426" s="48">
        <v>1.1362539999999999E-5</v>
      </c>
      <c r="D426" s="48">
        <v>0</v>
      </c>
      <c r="E426" s="48">
        <f t="shared" si="12"/>
        <v>0.73469000343471624</v>
      </c>
      <c r="F426" s="48">
        <f t="shared" si="13"/>
        <v>0.26530999656528376</v>
      </c>
    </row>
    <row r="427" spans="1:6" x14ac:dyDescent="0.25">
      <c r="A427" s="48">
        <v>785</v>
      </c>
      <c r="B427" s="48">
        <v>2.935326E-5</v>
      </c>
      <c r="C427" s="48">
        <v>1.06E-5</v>
      </c>
      <c r="D427" s="48">
        <v>0</v>
      </c>
      <c r="E427" s="48">
        <f t="shared" si="12"/>
        <v>0.73468998524776197</v>
      </c>
      <c r="F427" s="48">
        <f t="shared" si="13"/>
        <v>0.26531001475223798</v>
      </c>
    </row>
    <row r="428" spans="1:6" x14ac:dyDescent="0.25">
      <c r="A428" s="48">
        <v>786</v>
      </c>
      <c r="B428" s="48">
        <v>2.7375730000000002E-5</v>
      </c>
      <c r="C428" s="48">
        <v>9.8858770000000001E-6</v>
      </c>
      <c r="D428" s="48">
        <v>0</v>
      </c>
      <c r="E428" s="48">
        <f t="shared" si="12"/>
        <v>0.73468999874321039</v>
      </c>
      <c r="F428" s="48">
        <f t="shared" si="13"/>
        <v>0.26531000125678961</v>
      </c>
    </row>
    <row r="429" spans="1:6" x14ac:dyDescent="0.25">
      <c r="A429" s="48">
        <v>787</v>
      </c>
      <c r="B429" s="48">
        <v>2.5524330000000001E-5</v>
      </c>
      <c r="C429" s="48">
        <v>9.2173039999999999E-6</v>
      </c>
      <c r="D429" s="48">
        <v>0</v>
      </c>
      <c r="E429" s="48">
        <f t="shared" si="12"/>
        <v>0.73468996881378701</v>
      </c>
      <c r="F429" s="48">
        <f t="shared" si="13"/>
        <v>0.26531003118621305</v>
      </c>
    </row>
    <row r="430" spans="1:6" x14ac:dyDescent="0.25">
      <c r="A430" s="48">
        <v>788</v>
      </c>
      <c r="B430" s="48">
        <v>2.379376E-5</v>
      </c>
      <c r="C430" s="48">
        <v>8.5923620000000003E-6</v>
      </c>
      <c r="D430" s="48">
        <v>0</v>
      </c>
      <c r="E430" s="48">
        <f t="shared" si="12"/>
        <v>0.73469000085900993</v>
      </c>
      <c r="F430" s="48">
        <f t="shared" si="13"/>
        <v>0.26530999914099013</v>
      </c>
    </row>
    <row r="431" spans="1:6" x14ac:dyDescent="0.25">
      <c r="A431" s="48">
        <v>789</v>
      </c>
      <c r="B431" s="48">
        <v>2.2178700000000002E-5</v>
      </c>
      <c r="C431" s="48">
        <v>8.0091329999999995E-6</v>
      </c>
      <c r="D431" s="48">
        <v>0</v>
      </c>
      <c r="E431" s="48">
        <f t="shared" si="12"/>
        <v>0.73469003223914753</v>
      </c>
      <c r="F431" s="48">
        <f t="shared" si="13"/>
        <v>0.26530996776085253</v>
      </c>
    </row>
    <row r="432" spans="1:6" x14ac:dyDescent="0.25">
      <c r="A432" s="48">
        <v>790</v>
      </c>
      <c r="B432" s="48">
        <v>2.0673830000000001E-5</v>
      </c>
      <c r="C432" s="48">
        <v>7.4657000000000004E-6</v>
      </c>
      <c r="D432" s="48">
        <v>0</v>
      </c>
      <c r="E432" s="48">
        <f t="shared" si="12"/>
        <v>0.73468995395445491</v>
      </c>
      <c r="F432" s="48">
        <f t="shared" si="13"/>
        <v>0.2653100460455452</v>
      </c>
    </row>
    <row r="433" spans="1:6" x14ac:dyDescent="0.25">
      <c r="A433" s="48">
        <v>791</v>
      </c>
      <c r="B433" s="48">
        <v>1.9272259999999999E-5</v>
      </c>
      <c r="C433" s="48">
        <v>6.959567E-6</v>
      </c>
      <c r="D433" s="48">
        <v>0</v>
      </c>
      <c r="E433" s="48">
        <f t="shared" si="12"/>
        <v>0.73468996269302933</v>
      </c>
      <c r="F433" s="48">
        <f t="shared" si="13"/>
        <v>0.26531003730697067</v>
      </c>
    </row>
    <row r="434" spans="1:6" x14ac:dyDescent="0.25">
      <c r="A434" s="48">
        <v>792</v>
      </c>
      <c r="B434" s="48">
        <v>1.7966400000000001E-5</v>
      </c>
      <c r="C434" s="48">
        <v>6.487995E-6</v>
      </c>
      <c r="D434" s="48">
        <v>0</v>
      </c>
      <c r="E434" s="48">
        <f t="shared" si="12"/>
        <v>0.73469002197764455</v>
      </c>
      <c r="F434" s="48">
        <f t="shared" si="13"/>
        <v>0.26530997802235551</v>
      </c>
    </row>
    <row r="435" spans="1:6" x14ac:dyDescent="0.25">
      <c r="A435" s="48">
        <v>793</v>
      </c>
      <c r="B435" s="48">
        <v>1.6749910000000001E-5</v>
      </c>
      <c r="C435" s="48">
        <v>6.048699E-6</v>
      </c>
      <c r="D435" s="48">
        <v>0</v>
      </c>
      <c r="E435" s="48">
        <f t="shared" si="12"/>
        <v>0.73468999797312196</v>
      </c>
      <c r="F435" s="48">
        <f t="shared" si="13"/>
        <v>0.26531000202687804</v>
      </c>
    </row>
    <row r="436" spans="1:6" x14ac:dyDescent="0.25">
      <c r="A436" s="48">
        <v>794</v>
      </c>
      <c r="B436" s="48">
        <v>1.5616480000000001E-5</v>
      </c>
      <c r="C436" s="48">
        <v>5.6393959999999996E-6</v>
      </c>
      <c r="D436" s="48">
        <v>0</v>
      </c>
      <c r="E436" s="48">
        <f t="shared" si="12"/>
        <v>0.73469002171446607</v>
      </c>
      <c r="F436" s="48">
        <f t="shared" si="13"/>
        <v>0.26530997828553382</v>
      </c>
    </row>
    <row r="437" spans="1:6" x14ac:dyDescent="0.25">
      <c r="A437" s="48">
        <v>795</v>
      </c>
      <c r="B437" s="48">
        <v>1.455977E-5</v>
      </c>
      <c r="C437" s="48">
        <v>5.2577999999999999E-6</v>
      </c>
      <c r="D437" s="48">
        <v>0</v>
      </c>
      <c r="E437" s="48">
        <f t="shared" si="12"/>
        <v>0.7346899746033444</v>
      </c>
      <c r="F437" s="48">
        <f t="shared" si="13"/>
        <v>0.2653100253966556</v>
      </c>
    </row>
    <row r="438" spans="1:6" x14ac:dyDescent="0.25">
      <c r="A438" s="48">
        <v>796</v>
      </c>
      <c r="B438" s="48">
        <v>1.357387E-5</v>
      </c>
      <c r="C438" s="48">
        <v>4.9017710000000001E-6</v>
      </c>
      <c r="D438" s="48">
        <v>0</v>
      </c>
      <c r="E438" s="48">
        <f t="shared" si="12"/>
        <v>0.73469007110497542</v>
      </c>
      <c r="F438" s="48">
        <f t="shared" si="13"/>
        <v>0.26530992889502453</v>
      </c>
    </row>
    <row r="439" spans="1:6" x14ac:dyDescent="0.25">
      <c r="A439" s="48">
        <v>797</v>
      </c>
      <c r="B439" s="48">
        <v>1.2654359999999999E-5</v>
      </c>
      <c r="C439" s="48">
        <v>4.5697200000000002E-6</v>
      </c>
      <c r="D439" s="48">
        <v>0</v>
      </c>
      <c r="E439" s="48">
        <f t="shared" si="12"/>
        <v>0.73469003859712678</v>
      </c>
      <c r="F439" s="48">
        <f t="shared" si="13"/>
        <v>0.26530996140287322</v>
      </c>
    </row>
    <row r="440" spans="1:6" x14ac:dyDescent="0.25">
      <c r="A440" s="48">
        <v>798</v>
      </c>
      <c r="B440" s="48">
        <v>1.179723E-5</v>
      </c>
      <c r="C440" s="48">
        <v>4.2601939999999997E-6</v>
      </c>
      <c r="D440" s="48">
        <v>0</v>
      </c>
      <c r="E440" s="48">
        <f t="shared" si="12"/>
        <v>0.73469007233040617</v>
      </c>
      <c r="F440" s="48">
        <f t="shared" si="13"/>
        <v>0.26530992766959383</v>
      </c>
    </row>
    <row r="441" spans="1:6" x14ac:dyDescent="0.25">
      <c r="A441" s="48">
        <v>799</v>
      </c>
      <c r="B441" s="48">
        <v>1.0998440000000001E-5</v>
      </c>
      <c r="C441" s="48">
        <v>3.9717389999999996E-6</v>
      </c>
      <c r="D441" s="48">
        <v>0</v>
      </c>
      <c r="E441" s="48">
        <f t="shared" si="12"/>
        <v>0.73468994592516235</v>
      </c>
      <c r="F441" s="48">
        <f t="shared" si="13"/>
        <v>0.26531005407483771</v>
      </c>
    </row>
    <row r="442" spans="1:6" x14ac:dyDescent="0.25">
      <c r="A442" s="48">
        <v>800</v>
      </c>
      <c r="B442" s="48">
        <v>1.0253980000000001E-5</v>
      </c>
      <c r="C442" s="48">
        <v>3.7029000000000002E-6</v>
      </c>
      <c r="D442" s="48">
        <v>0</v>
      </c>
      <c r="E442" s="48">
        <f t="shared" si="12"/>
        <v>0.73468998802024521</v>
      </c>
      <c r="F442" s="48">
        <f t="shared" si="13"/>
        <v>0.26531001197975479</v>
      </c>
    </row>
    <row r="443" spans="1:6" x14ac:dyDescent="0.25">
      <c r="A443" s="48">
        <v>801</v>
      </c>
      <c r="B443" s="48">
        <v>9.5596459999999999E-6</v>
      </c>
      <c r="C443" s="48">
        <v>3.4521630000000002E-6</v>
      </c>
      <c r="D443" s="48">
        <v>0</v>
      </c>
      <c r="E443" s="48">
        <f t="shared" si="12"/>
        <v>0.73469000351911096</v>
      </c>
      <c r="F443" s="48">
        <f t="shared" si="13"/>
        <v>0.26530999648088899</v>
      </c>
    </row>
    <row r="444" spans="1:6" x14ac:dyDescent="0.25">
      <c r="A444" s="48">
        <v>802</v>
      </c>
      <c r="B444" s="48">
        <v>8.9120440000000008E-6</v>
      </c>
      <c r="C444" s="48">
        <v>3.2183019999999998E-6</v>
      </c>
      <c r="D444" s="48">
        <v>0</v>
      </c>
      <c r="E444" s="48">
        <f t="shared" si="12"/>
        <v>0.73469000801790818</v>
      </c>
      <c r="F444" s="48">
        <f t="shared" si="13"/>
        <v>0.26530999198209182</v>
      </c>
    </row>
    <row r="445" spans="1:6" x14ac:dyDescent="0.25">
      <c r="A445" s="48">
        <v>803</v>
      </c>
      <c r="B445" s="48">
        <v>8.308358E-6</v>
      </c>
      <c r="C445" s="48">
        <v>3.0002999999999999E-6</v>
      </c>
      <c r="D445" s="48">
        <v>0</v>
      </c>
      <c r="E445" s="48">
        <f t="shared" si="12"/>
        <v>0.73469000477333379</v>
      </c>
      <c r="F445" s="48">
        <f t="shared" si="13"/>
        <v>0.26530999522666615</v>
      </c>
    </row>
    <row r="446" spans="1:6" x14ac:dyDescent="0.25">
      <c r="A446" s="48">
        <v>804</v>
      </c>
      <c r="B446" s="48">
        <v>7.7457689999999998E-6</v>
      </c>
      <c r="C446" s="48">
        <v>2.7971389999999999E-6</v>
      </c>
      <c r="D446" s="48">
        <v>0</v>
      </c>
      <c r="E446" s="48">
        <f t="shared" si="12"/>
        <v>0.73468999255233947</v>
      </c>
      <c r="F446" s="48">
        <f t="shared" si="13"/>
        <v>0.26531000744766059</v>
      </c>
    </row>
    <row r="447" spans="1:6" x14ac:dyDescent="0.25">
      <c r="A447" s="48">
        <v>805</v>
      </c>
      <c r="B447" s="48">
        <v>7.2214559999999999E-6</v>
      </c>
      <c r="C447" s="48">
        <v>2.6077999999999998E-6</v>
      </c>
      <c r="D447" s="48">
        <v>0</v>
      </c>
      <c r="E447" s="48">
        <f t="shared" si="12"/>
        <v>0.73468999077854924</v>
      </c>
      <c r="F447" s="48">
        <f t="shared" si="13"/>
        <v>0.2653100092214507</v>
      </c>
    </row>
    <row r="448" spans="1:6" x14ac:dyDescent="0.25">
      <c r="A448" s="48">
        <v>806</v>
      </c>
      <c r="B448" s="48">
        <v>6.7324750000000003E-6</v>
      </c>
      <c r="C448" s="48">
        <v>2.4312199999999998E-6</v>
      </c>
      <c r="D448" s="48">
        <v>0</v>
      </c>
      <c r="E448" s="48">
        <f t="shared" si="12"/>
        <v>0.73468999131900403</v>
      </c>
      <c r="F448" s="48">
        <f t="shared" si="13"/>
        <v>0.26531000868099602</v>
      </c>
    </row>
    <row r="449" spans="1:6" x14ac:dyDescent="0.25">
      <c r="A449" s="48">
        <v>807</v>
      </c>
      <c r="B449" s="48">
        <v>6.2764230000000002E-6</v>
      </c>
      <c r="C449" s="48">
        <v>2.266531E-6</v>
      </c>
      <c r="D449" s="48">
        <v>0</v>
      </c>
      <c r="E449" s="48">
        <f t="shared" si="12"/>
        <v>0.73469001471856221</v>
      </c>
      <c r="F449" s="48">
        <f t="shared" si="13"/>
        <v>0.26530998528143779</v>
      </c>
    </row>
    <row r="450" spans="1:6" x14ac:dyDescent="0.25">
      <c r="A450" s="48">
        <v>808</v>
      </c>
      <c r="B450" s="48">
        <v>5.8513040000000003E-6</v>
      </c>
      <c r="C450" s="48">
        <v>2.1130130000000001E-6</v>
      </c>
      <c r="D450" s="48">
        <v>0</v>
      </c>
      <c r="E450" s="48">
        <f t="shared" ref="E450:E472" si="14">B450/($B450+$C450+$D450)</f>
        <v>0.73468999287697867</v>
      </c>
      <c r="F450" s="48">
        <f t="shared" ref="F450:F472" si="15">C450/($B450+$C450+$D450)</f>
        <v>0.26531000712302133</v>
      </c>
    </row>
    <row r="451" spans="1:6" x14ac:dyDescent="0.25">
      <c r="A451" s="48">
        <v>809</v>
      </c>
      <c r="B451" s="48">
        <v>5.4551179999999997E-6</v>
      </c>
      <c r="C451" s="48">
        <v>1.9699430000000001E-6</v>
      </c>
      <c r="D451" s="48">
        <v>0</v>
      </c>
      <c r="E451" s="48">
        <f t="shared" si="14"/>
        <v>0.73468999109906308</v>
      </c>
      <c r="F451" s="48">
        <f t="shared" si="15"/>
        <v>0.26531000890093703</v>
      </c>
    </row>
    <row r="452" spans="1:6" x14ac:dyDescent="0.25">
      <c r="A452" s="48">
        <v>810</v>
      </c>
      <c r="B452" s="48">
        <v>5.0858679999999998E-6</v>
      </c>
      <c r="C452" s="48">
        <v>1.8365999999999999E-6</v>
      </c>
      <c r="D452" s="48">
        <v>0</v>
      </c>
      <c r="E452" s="48">
        <f t="shared" si="14"/>
        <v>0.73468999784469935</v>
      </c>
      <c r="F452" s="48">
        <f t="shared" si="15"/>
        <v>0.26531000215530071</v>
      </c>
    </row>
    <row r="453" spans="1:6" x14ac:dyDescent="0.25">
      <c r="A453" s="48">
        <v>811</v>
      </c>
      <c r="B453" s="48">
        <v>4.7414659999999997E-6</v>
      </c>
      <c r="C453" s="48">
        <v>1.7122300000000001E-6</v>
      </c>
      <c r="D453" s="48">
        <v>0</v>
      </c>
      <c r="E453" s="48">
        <f t="shared" si="14"/>
        <v>0.73469001328850936</v>
      </c>
      <c r="F453" s="48">
        <f t="shared" si="15"/>
        <v>0.26530998671149064</v>
      </c>
    </row>
    <row r="454" spans="1:6" x14ac:dyDescent="0.25">
      <c r="A454" s="48">
        <v>812</v>
      </c>
      <c r="B454" s="48">
        <v>4.4202359999999998E-6</v>
      </c>
      <c r="C454" s="48">
        <v>1.596228E-6</v>
      </c>
      <c r="D454" s="48">
        <v>0</v>
      </c>
      <c r="E454" s="48">
        <f t="shared" si="14"/>
        <v>0.73469001061088368</v>
      </c>
      <c r="F454" s="48">
        <f t="shared" si="15"/>
        <v>0.26530998938911626</v>
      </c>
    </row>
    <row r="455" spans="1:6" x14ac:dyDescent="0.25">
      <c r="A455" s="48">
        <v>813</v>
      </c>
      <c r="B455" s="48">
        <v>4.1207829999999997E-6</v>
      </c>
      <c r="C455" s="48">
        <v>1.4880899999999999E-6</v>
      </c>
      <c r="D455" s="48">
        <v>0</v>
      </c>
      <c r="E455" s="48">
        <f t="shared" si="14"/>
        <v>0.73469001704977099</v>
      </c>
      <c r="F455" s="48">
        <f t="shared" si="15"/>
        <v>0.26530998295022906</v>
      </c>
    </row>
    <row r="456" spans="1:6" x14ac:dyDescent="0.25">
      <c r="A456" s="48">
        <v>814</v>
      </c>
      <c r="B456" s="48">
        <v>3.8417159999999996E-6</v>
      </c>
      <c r="C456" s="48">
        <v>1.387314E-6</v>
      </c>
      <c r="D456" s="48">
        <v>0</v>
      </c>
      <c r="E456" s="48">
        <f t="shared" si="14"/>
        <v>0.73468999030412896</v>
      </c>
      <c r="F456" s="48">
        <f t="shared" si="15"/>
        <v>0.26531000969587093</v>
      </c>
    </row>
    <row r="457" spans="1:6" x14ac:dyDescent="0.25">
      <c r="A457" s="48">
        <v>815</v>
      </c>
      <c r="B457" s="48">
        <v>3.5816519999999999E-6</v>
      </c>
      <c r="C457" s="48">
        <v>1.2934E-6</v>
      </c>
      <c r="D457" s="48">
        <v>0</v>
      </c>
      <c r="E457" s="48">
        <f t="shared" si="14"/>
        <v>0.73469000946041196</v>
      </c>
      <c r="F457" s="48">
        <f t="shared" si="15"/>
        <v>0.26530999053958809</v>
      </c>
    </row>
    <row r="458" spans="1:6" x14ac:dyDescent="0.25">
      <c r="A458" s="48">
        <v>816</v>
      </c>
      <c r="B458" s="48">
        <v>3.339127E-6</v>
      </c>
      <c r="C458" s="48">
        <v>1.2058200000000001E-6</v>
      </c>
      <c r="D458" s="48">
        <v>0</v>
      </c>
      <c r="E458" s="48">
        <f t="shared" si="14"/>
        <v>0.73468997548266246</v>
      </c>
      <c r="F458" s="48">
        <f t="shared" si="15"/>
        <v>0.26531002451733765</v>
      </c>
    </row>
    <row r="459" spans="1:6" x14ac:dyDescent="0.25">
      <c r="A459" s="48">
        <v>817</v>
      </c>
      <c r="B459" s="48">
        <v>3.1129490000000002E-6</v>
      </c>
      <c r="C459" s="48">
        <v>1.1241430000000001E-6</v>
      </c>
      <c r="D459" s="48">
        <v>0</v>
      </c>
      <c r="E459" s="48">
        <f t="shared" si="14"/>
        <v>0.73468997132939284</v>
      </c>
      <c r="F459" s="48">
        <f t="shared" si="15"/>
        <v>0.2653100286706071</v>
      </c>
    </row>
    <row r="460" spans="1:6" x14ac:dyDescent="0.25">
      <c r="A460" s="48">
        <v>818</v>
      </c>
      <c r="B460" s="48">
        <v>2.9021210000000001E-6</v>
      </c>
      <c r="C460" s="48">
        <v>1.048009E-6</v>
      </c>
      <c r="D460" s="48">
        <v>0</v>
      </c>
      <c r="E460" s="48">
        <f t="shared" si="14"/>
        <v>0.73468999754438458</v>
      </c>
      <c r="F460" s="48">
        <f t="shared" si="15"/>
        <v>0.26531000245561537</v>
      </c>
    </row>
    <row r="461" spans="1:6" x14ac:dyDescent="0.25">
      <c r="A461" s="48">
        <v>819</v>
      </c>
      <c r="B461" s="48">
        <v>2.7056450000000002E-6</v>
      </c>
      <c r="C461" s="48">
        <v>9.7705800000000004E-7</v>
      </c>
      <c r="D461" s="48">
        <v>0</v>
      </c>
      <c r="E461" s="48">
        <f t="shared" si="14"/>
        <v>0.73468998178783351</v>
      </c>
      <c r="F461" s="48">
        <f t="shared" si="15"/>
        <v>0.26531001821216643</v>
      </c>
    </row>
    <row r="462" spans="1:6" x14ac:dyDescent="0.25">
      <c r="A462" s="48">
        <v>820</v>
      </c>
      <c r="B462" s="48">
        <v>2.522525E-6</v>
      </c>
      <c r="C462" s="48">
        <v>9.1093000000000002E-7</v>
      </c>
      <c r="D462" s="48">
        <v>0</v>
      </c>
      <c r="E462" s="48">
        <f t="shared" si="14"/>
        <v>0.73468998428696464</v>
      </c>
      <c r="F462" s="48">
        <f t="shared" si="15"/>
        <v>0.26531001571303542</v>
      </c>
    </row>
    <row r="463" spans="1:6" x14ac:dyDescent="0.25">
      <c r="A463" s="48">
        <v>821</v>
      </c>
      <c r="B463" s="48">
        <v>2.3517260000000002E-6</v>
      </c>
      <c r="C463" s="48">
        <v>8.4925099999999999E-7</v>
      </c>
      <c r="D463" s="48">
        <v>0</v>
      </c>
      <c r="E463" s="48">
        <f t="shared" si="14"/>
        <v>0.73469006493954825</v>
      </c>
      <c r="F463" s="48">
        <f t="shared" si="15"/>
        <v>0.26530993506045186</v>
      </c>
    </row>
    <row r="464" spans="1:6" x14ac:dyDescent="0.25">
      <c r="A464" s="48">
        <v>822</v>
      </c>
      <c r="B464" s="48">
        <v>2.1924150000000002E-6</v>
      </c>
      <c r="C464" s="48">
        <v>7.9172100000000003E-7</v>
      </c>
      <c r="D464" s="48">
        <v>0</v>
      </c>
      <c r="E464" s="48">
        <f t="shared" si="14"/>
        <v>0.73469004093647206</v>
      </c>
      <c r="F464" s="48">
        <f t="shared" si="15"/>
        <v>0.26530995906352794</v>
      </c>
    </row>
    <row r="465" spans="1:6" x14ac:dyDescent="0.25">
      <c r="A465" s="48">
        <v>823</v>
      </c>
      <c r="B465" s="48">
        <v>2.0439020000000001E-6</v>
      </c>
      <c r="C465" s="48">
        <v>7.3809000000000001E-7</v>
      </c>
      <c r="D465" s="48">
        <v>0</v>
      </c>
      <c r="E465" s="48">
        <f t="shared" si="14"/>
        <v>0.73469010694495174</v>
      </c>
      <c r="F465" s="48">
        <f t="shared" si="15"/>
        <v>0.26530989305504832</v>
      </c>
    </row>
    <row r="466" spans="1:6" x14ac:dyDescent="0.25">
      <c r="A466" s="48">
        <v>824</v>
      </c>
      <c r="B466" s="48">
        <v>1.9054969999999999E-6</v>
      </c>
      <c r="C466" s="48">
        <v>6.8810999999999999E-7</v>
      </c>
      <c r="D466" s="48">
        <v>0</v>
      </c>
      <c r="E466" s="48">
        <f t="shared" si="14"/>
        <v>0.73468995109899071</v>
      </c>
      <c r="F466" s="48">
        <f t="shared" si="15"/>
        <v>0.26531004890100929</v>
      </c>
    </row>
    <row r="467" spans="1:6" x14ac:dyDescent="0.25">
      <c r="A467" s="48">
        <v>825</v>
      </c>
      <c r="B467" s="48">
        <v>1.7765090000000001E-6</v>
      </c>
      <c r="C467" s="48">
        <v>6.4153E-7</v>
      </c>
      <c r="D467" s="48">
        <v>0</v>
      </c>
      <c r="E467" s="48">
        <f t="shared" si="14"/>
        <v>0.73468996984746737</v>
      </c>
      <c r="F467" s="48">
        <f t="shared" si="15"/>
        <v>0.26531003015253268</v>
      </c>
    </row>
    <row r="468" spans="1:6" x14ac:dyDescent="0.25">
      <c r="A468" s="48">
        <v>826</v>
      </c>
      <c r="B468" s="48">
        <v>1.6562149999999999E-6</v>
      </c>
      <c r="C468" s="48">
        <v>5.9808999999999998E-7</v>
      </c>
      <c r="D468" s="48">
        <v>0</v>
      </c>
      <c r="E468" s="48">
        <f t="shared" si="14"/>
        <v>0.73468984897784451</v>
      </c>
      <c r="F468" s="48">
        <f t="shared" si="15"/>
        <v>0.26531015102215538</v>
      </c>
    </row>
    <row r="469" spans="1:6" x14ac:dyDescent="0.25">
      <c r="A469" s="48">
        <v>827</v>
      </c>
      <c r="B469" s="48">
        <v>1.5440219999999999E-6</v>
      </c>
      <c r="C469" s="48">
        <v>5.5757500000000001E-7</v>
      </c>
      <c r="D469" s="48">
        <v>0</v>
      </c>
      <c r="E469" s="48">
        <f t="shared" si="14"/>
        <v>0.73468985728472203</v>
      </c>
      <c r="F469" s="48">
        <f t="shared" si="15"/>
        <v>0.26531014271527797</v>
      </c>
    </row>
    <row r="470" spans="1:6" x14ac:dyDescent="0.25">
      <c r="A470" s="48">
        <v>828</v>
      </c>
      <c r="B470" s="48">
        <v>1.43944E-6</v>
      </c>
      <c r="C470" s="48">
        <v>5.1980799999999999E-7</v>
      </c>
      <c r="D470" s="48">
        <v>0</v>
      </c>
      <c r="E470" s="48">
        <f t="shared" si="14"/>
        <v>0.73469004434354412</v>
      </c>
      <c r="F470" s="48">
        <f t="shared" si="15"/>
        <v>0.26530995565645599</v>
      </c>
    </row>
    <row r="471" spans="1:6" x14ac:dyDescent="0.25">
      <c r="A471" s="48">
        <v>829</v>
      </c>
      <c r="B471" s="48">
        <v>1.341977E-6</v>
      </c>
      <c r="C471" s="48">
        <v>4.84612E-7</v>
      </c>
      <c r="D471" s="48">
        <v>0</v>
      </c>
      <c r="E471" s="48">
        <f t="shared" si="14"/>
        <v>0.73469017934521674</v>
      </c>
      <c r="F471" s="48">
        <f t="shared" si="15"/>
        <v>0.26530982065478331</v>
      </c>
    </row>
    <row r="472" spans="1:6" x14ac:dyDescent="0.25">
      <c r="A472" s="48">
        <v>830</v>
      </c>
      <c r="B472" s="48">
        <v>1.251141E-6</v>
      </c>
      <c r="C472" s="48">
        <v>4.5181000000000002E-7</v>
      </c>
      <c r="D472" s="48">
        <v>0</v>
      </c>
      <c r="E472" s="48">
        <f t="shared" si="14"/>
        <v>0.734689958783312</v>
      </c>
      <c r="F472" s="48">
        <f t="shared" si="15"/>
        <v>0.26531004121668794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RGB Mixing</vt:lpstr>
      <vt:lpstr>'RGB Mixing'!Print_Area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Pan, ZhongHui - George</dc:creator>
  <cp:lastModifiedBy>Pan, ZhonHui - George</cp:lastModifiedBy>
  <dcterms:created xsi:type="dcterms:W3CDTF">2006-09-16T00:00:00Z</dcterms:created>
  <dcterms:modified xsi:type="dcterms:W3CDTF">2017-07-12T13:12:12Z</dcterms:modified>
</cp:coreProperties>
</file>